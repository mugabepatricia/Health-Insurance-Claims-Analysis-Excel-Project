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atriciamugisha/Downloads/"/>
    </mc:Choice>
  </mc:AlternateContent>
  <xr:revisionPtr revIDLastSave="0" documentId="13_ncr:1_{E0671241-A730-AF4C-BD6F-A9AEE27D7C33}" xr6:coauthVersionLast="47" xr6:coauthVersionMax="47" xr10:uidLastSave="{00000000-0000-0000-0000-000000000000}"/>
  <bookViews>
    <workbookView xWindow="0" yWindow="620" windowWidth="14420" windowHeight="16340" xr2:uid="{00000000-000D-0000-FFFF-FFFF00000000}"/>
  </bookViews>
  <sheets>
    <sheet name="Claims Data" sheetId="1" r:id="rId1"/>
    <sheet name="Summary Dashboard" sheetId="2" r:id="rId2"/>
    <sheet name="Exercise Guide" sheetId="3" r:id="rId3"/>
  </sheets>
  <definedNames>
    <definedName name="_xlnm._FilterDatabase" localSheetId="0" hidden="1">'Claims Data'!$A$1:$Q$201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C15" i="2"/>
  <c r="B15" i="2"/>
  <c r="C14" i="2"/>
  <c r="B14" i="2"/>
  <c r="B10" i="2"/>
  <c r="C10" i="2" s="1"/>
  <c r="B9" i="2"/>
  <c r="C9" i="2" s="1"/>
  <c r="B8" i="2"/>
  <c r="C8" i="2" s="1"/>
  <c r="F4" i="2"/>
  <c r="E4" i="2"/>
  <c r="D4" i="2"/>
  <c r="C4" i="2"/>
  <c r="B4" i="2"/>
  <c r="A4" i="2"/>
</calcChain>
</file>

<file path=xl/sharedStrings.xml><?xml version="1.0" encoding="utf-8"?>
<sst xmlns="http://schemas.openxmlformats.org/spreadsheetml/2006/main" count="2501" uniqueCount="522">
  <si>
    <t>Claim ID</t>
  </si>
  <si>
    <t>Member ID</t>
  </si>
  <si>
    <t>Age</t>
  </si>
  <si>
    <t>Gender</t>
  </si>
  <si>
    <t>Plan</t>
  </si>
  <si>
    <t>Provider ID</t>
  </si>
  <si>
    <t>Provider Name</t>
  </si>
  <si>
    <t>Provider Type</t>
  </si>
  <si>
    <t>Service Date</t>
  </si>
  <si>
    <t>ICD-10 Code</t>
  </si>
  <si>
    <t>Diagnosis</t>
  </si>
  <si>
    <t>Billed Amount ($)</t>
  </si>
  <si>
    <t>Allowed Amount ($)</t>
  </si>
  <si>
    <t>Member Copay ($)</t>
  </si>
  <si>
    <t>Paid Amount ($)</t>
  </si>
  <si>
    <t>Claim Status</t>
  </si>
  <si>
    <t>Prior Auth Required</t>
  </si>
  <si>
    <t>CLM00001</t>
  </si>
  <si>
    <t>M0006</t>
  </si>
  <si>
    <t>F</t>
  </si>
  <si>
    <t>Gold</t>
  </si>
  <si>
    <t>PV001</t>
  </si>
  <si>
    <t>City General Hospital</t>
  </si>
  <si>
    <t>Inpatient</t>
  </si>
  <si>
    <t>2024-12-01</t>
  </si>
  <si>
    <t>E11.9</t>
  </si>
  <si>
    <t>Type 2 Diabetes</t>
  </si>
  <si>
    <t>Pending</t>
  </si>
  <si>
    <t>Yes</t>
  </si>
  <si>
    <t>CLM00002</t>
  </si>
  <si>
    <t>M0027</t>
  </si>
  <si>
    <t>Bronze</t>
  </si>
  <si>
    <t>PV002</t>
  </si>
  <si>
    <t>Westside Clinic</t>
  </si>
  <si>
    <t>Outpatient</t>
  </si>
  <si>
    <t>2024-09-09</t>
  </si>
  <si>
    <t>M54.5</t>
  </si>
  <si>
    <t>Low Back Pain</t>
  </si>
  <si>
    <t>CLM00003</t>
  </si>
  <si>
    <t>M</t>
  </si>
  <si>
    <t>Silver</t>
  </si>
  <si>
    <t>PV004</t>
  </si>
  <si>
    <t>Northpark Family Practice</t>
  </si>
  <si>
    <t>2024-06-28</t>
  </si>
  <si>
    <t>I10</t>
  </si>
  <si>
    <t>Hypertension</t>
  </si>
  <si>
    <t>Approved</t>
  </si>
  <si>
    <t>No</t>
  </si>
  <si>
    <t>CLM00004</t>
  </si>
  <si>
    <t>PV003</t>
  </si>
  <si>
    <t>Metro ER</t>
  </si>
  <si>
    <t>Emergency</t>
  </si>
  <si>
    <t>2024-01-20</t>
  </si>
  <si>
    <t>S52.501A</t>
  </si>
  <si>
    <t>Forearm Fracture</t>
  </si>
  <si>
    <t>Denied</t>
  </si>
  <si>
    <t>CLM00005</t>
  </si>
  <si>
    <t>M0015</t>
  </si>
  <si>
    <t>2024-12-15</t>
  </si>
  <si>
    <t>CLM00006</t>
  </si>
  <si>
    <t>M0039</t>
  </si>
  <si>
    <t>2024-06-24</t>
  </si>
  <si>
    <t>CLM00007</t>
  </si>
  <si>
    <t>M0044</t>
  </si>
  <si>
    <t>2024-07-27</t>
  </si>
  <si>
    <t>CLM00008</t>
  </si>
  <si>
    <t>M0014</t>
  </si>
  <si>
    <t>2024-05-21</t>
  </si>
  <si>
    <t>K21.0</t>
  </si>
  <si>
    <t>GERD</t>
  </si>
  <si>
    <t>CLM00009</t>
  </si>
  <si>
    <t>M0028</t>
  </si>
  <si>
    <t>2024-03-08</t>
  </si>
  <si>
    <t>CLM00010</t>
  </si>
  <si>
    <t>2024-02-13</t>
  </si>
  <si>
    <t>Z23</t>
  </si>
  <si>
    <t>Vaccination</t>
  </si>
  <si>
    <t>CLM00011</t>
  </si>
  <si>
    <t>M0049</t>
  </si>
  <si>
    <t>2024-09-10</t>
  </si>
  <si>
    <t>CLM00012</t>
  </si>
  <si>
    <t>2024-01-10</t>
  </si>
  <si>
    <t>CLM00013</t>
  </si>
  <si>
    <t>2024-03-04</t>
  </si>
  <si>
    <t>CLM00014</t>
  </si>
  <si>
    <t>M0005</t>
  </si>
  <si>
    <t>2024-01-22</t>
  </si>
  <si>
    <t>J45.909</t>
  </si>
  <si>
    <t>Asthma</t>
  </si>
  <si>
    <t>CLM00015</t>
  </si>
  <si>
    <t>2024-05-10</t>
  </si>
  <si>
    <t>CLM00016</t>
  </si>
  <si>
    <t>M0038</t>
  </si>
  <si>
    <t>2024-09-08</t>
  </si>
  <si>
    <t>CLM00017</t>
  </si>
  <si>
    <t>M0016</t>
  </si>
  <si>
    <t>2024-04-18</t>
  </si>
  <si>
    <t>CLM00018</t>
  </si>
  <si>
    <t>M0007</t>
  </si>
  <si>
    <t>PV005</t>
  </si>
  <si>
    <t>Southside Specialists</t>
  </si>
  <si>
    <t>2024-08-14</t>
  </si>
  <si>
    <t>CLM00019</t>
  </si>
  <si>
    <t>2024-11-18</t>
  </si>
  <si>
    <t>N39.0</t>
  </si>
  <si>
    <t>UTI</t>
  </si>
  <si>
    <t>CLM00020</t>
  </si>
  <si>
    <t>M0036</t>
  </si>
  <si>
    <t>2024-03-18</t>
  </si>
  <si>
    <t>CLM00021</t>
  </si>
  <si>
    <t>M0011</t>
  </si>
  <si>
    <t>2024-03-09</t>
  </si>
  <si>
    <t>CLM00022</t>
  </si>
  <si>
    <t>M0010</t>
  </si>
  <si>
    <t>2024-12-02</t>
  </si>
  <si>
    <t>CLM00023</t>
  </si>
  <si>
    <t>M0004</t>
  </si>
  <si>
    <t>2024-01-03</t>
  </si>
  <si>
    <t>CLM00024</t>
  </si>
  <si>
    <t>M0040</t>
  </si>
  <si>
    <t>2024-02-19</t>
  </si>
  <si>
    <t>CLM00025</t>
  </si>
  <si>
    <t>M0030</t>
  </si>
  <si>
    <t>2024-11-15</t>
  </si>
  <si>
    <t>CLM00026</t>
  </si>
  <si>
    <t>2024-04-15</t>
  </si>
  <si>
    <t>CLM00027</t>
  </si>
  <si>
    <t>M0009</t>
  </si>
  <si>
    <t>2024-01-24</t>
  </si>
  <si>
    <t>CLM00028</t>
  </si>
  <si>
    <t>M0033</t>
  </si>
  <si>
    <t>2024-10-03</t>
  </si>
  <si>
    <t>CLM00029</t>
  </si>
  <si>
    <t>M0048</t>
  </si>
  <si>
    <t>2024-01-01</t>
  </si>
  <si>
    <t>CLM00030</t>
  </si>
  <si>
    <t>2024-09-26</t>
  </si>
  <si>
    <t>CLM00031</t>
  </si>
  <si>
    <t>2024-11-28</t>
  </si>
  <si>
    <t>CLM00032</t>
  </si>
  <si>
    <t>M0043</t>
  </si>
  <si>
    <t>2024-01-06</t>
  </si>
  <si>
    <t>CLM00033</t>
  </si>
  <si>
    <t>2024-08-07</t>
  </si>
  <si>
    <t>F32.9</t>
  </si>
  <si>
    <t>Depression</t>
  </si>
  <si>
    <t>CLM00034</t>
  </si>
  <si>
    <t>2024-02-04</t>
  </si>
  <si>
    <t>CLM00035</t>
  </si>
  <si>
    <t>2024-05-19</t>
  </si>
  <si>
    <t>CLM00036</t>
  </si>
  <si>
    <t>M0024</t>
  </si>
  <si>
    <t>2024-12-11</t>
  </si>
  <si>
    <t>CLM00037</t>
  </si>
  <si>
    <t>2024-09-22</t>
  </si>
  <si>
    <t>CLM00038</t>
  </si>
  <si>
    <t>2024-10-15</t>
  </si>
  <si>
    <t>CLM00039</t>
  </si>
  <si>
    <t>M0019</t>
  </si>
  <si>
    <t>2024-08-27</t>
  </si>
  <si>
    <t>CLM00040</t>
  </si>
  <si>
    <t>M0050</t>
  </si>
  <si>
    <t>2024-04-21</t>
  </si>
  <si>
    <t>CLM00041</t>
  </si>
  <si>
    <t>2024-07-26</t>
  </si>
  <si>
    <t>CLM00042</t>
  </si>
  <si>
    <t>2024-04-20</t>
  </si>
  <si>
    <t>J06.9</t>
  </si>
  <si>
    <t>Upper Respiratory Infection</t>
  </si>
  <si>
    <t>CLM00043</t>
  </si>
  <si>
    <t>M0041</t>
  </si>
  <si>
    <t>CLM00044</t>
  </si>
  <si>
    <t>2024-12-13</t>
  </si>
  <si>
    <t>CLM00045</t>
  </si>
  <si>
    <t>2024-07-13</t>
  </si>
  <si>
    <t>CLM00046</t>
  </si>
  <si>
    <t>M0035</t>
  </si>
  <si>
    <t>2024-05-08</t>
  </si>
  <si>
    <t>CLM00047</t>
  </si>
  <si>
    <t>2024-01-19</t>
  </si>
  <si>
    <t>CLM00048</t>
  </si>
  <si>
    <t>2024-03-25</t>
  </si>
  <si>
    <t>CLM00049</t>
  </si>
  <si>
    <t>M0023</t>
  </si>
  <si>
    <t>2024-05-02</t>
  </si>
  <si>
    <t>CLM00050</t>
  </si>
  <si>
    <t>M0037</t>
  </si>
  <si>
    <t>2024-01-09</t>
  </si>
  <si>
    <t>CLM00051</t>
  </si>
  <si>
    <t>M0020</t>
  </si>
  <si>
    <t>2024-10-19</t>
  </si>
  <si>
    <t>CLM00052</t>
  </si>
  <si>
    <t>2024-02-26</t>
  </si>
  <si>
    <t>CLM00053</t>
  </si>
  <si>
    <t>2024-07-12</t>
  </si>
  <si>
    <t>CLM00054</t>
  </si>
  <si>
    <t>2024-03-27</t>
  </si>
  <si>
    <t>CLM00055</t>
  </si>
  <si>
    <t>2024-02-01</t>
  </si>
  <si>
    <t>CLM00056</t>
  </si>
  <si>
    <t>M0045</t>
  </si>
  <si>
    <t>CLM00057</t>
  </si>
  <si>
    <t>M0029</t>
  </si>
  <si>
    <t>2024-08-10</t>
  </si>
  <si>
    <t>CLM00058</t>
  </si>
  <si>
    <t>2024-05-23</t>
  </si>
  <si>
    <t>CLM00059</t>
  </si>
  <si>
    <t>2024-05-07</t>
  </si>
  <si>
    <t>CLM00060</t>
  </si>
  <si>
    <t>2024-09-01</t>
  </si>
  <si>
    <t>CLM00061</t>
  </si>
  <si>
    <t>2024-01-16</t>
  </si>
  <si>
    <t>CLM00062</t>
  </si>
  <si>
    <t>M0026</t>
  </si>
  <si>
    <t>2024-01-21</t>
  </si>
  <si>
    <t>CLM00063</t>
  </si>
  <si>
    <t>2024-10-13</t>
  </si>
  <si>
    <t>CLM00064</t>
  </si>
  <si>
    <t>2024-10-07</t>
  </si>
  <si>
    <t>CLM00065</t>
  </si>
  <si>
    <t>2024-04-02</t>
  </si>
  <si>
    <t>CLM00066</t>
  </si>
  <si>
    <t>2024-12-04</t>
  </si>
  <si>
    <t>CLM00067</t>
  </si>
  <si>
    <t>2024-03-23</t>
  </si>
  <si>
    <t>CLM00068</t>
  </si>
  <si>
    <t>2024-09-03</t>
  </si>
  <si>
    <t>CLM00069</t>
  </si>
  <si>
    <t>2024-01-17</t>
  </si>
  <si>
    <t>CLM00070</t>
  </si>
  <si>
    <t>2024-10-22</t>
  </si>
  <si>
    <t>CLM00071</t>
  </si>
  <si>
    <t>M0003</t>
  </si>
  <si>
    <t>2024-07-09</t>
  </si>
  <si>
    <t>CLM00072</t>
  </si>
  <si>
    <t>2024-09-12</t>
  </si>
  <si>
    <t>CLM00073</t>
  </si>
  <si>
    <t>M0008</t>
  </si>
  <si>
    <t>2024-04-06</t>
  </si>
  <si>
    <t>CLM00074</t>
  </si>
  <si>
    <t>2024-09-23</t>
  </si>
  <si>
    <t>CLM00075</t>
  </si>
  <si>
    <t>2024-07-17</t>
  </si>
  <si>
    <t>CLM00076</t>
  </si>
  <si>
    <t>2024-07-19</t>
  </si>
  <si>
    <t>CLM00077</t>
  </si>
  <si>
    <t>CLM00078</t>
  </si>
  <si>
    <t>M0025</t>
  </si>
  <si>
    <t>2024-01-02</t>
  </si>
  <si>
    <t>CLM00079</t>
  </si>
  <si>
    <t>CLM00080</t>
  </si>
  <si>
    <t>CLM00081</t>
  </si>
  <si>
    <t>2024-10-25</t>
  </si>
  <si>
    <t>CLM00082</t>
  </si>
  <si>
    <t>2024-12-05</t>
  </si>
  <si>
    <t>CLM00083</t>
  </si>
  <si>
    <t>CLM00084</t>
  </si>
  <si>
    <t>CLM00085</t>
  </si>
  <si>
    <t>M0013</t>
  </si>
  <si>
    <t>2024-11-08</t>
  </si>
  <si>
    <t>CLM00086</t>
  </si>
  <si>
    <t>M0018</t>
  </si>
  <si>
    <t>2024-10-24</t>
  </si>
  <si>
    <t>CLM00087</t>
  </si>
  <si>
    <t>2024-10-04</t>
  </si>
  <si>
    <t>CLM00088</t>
  </si>
  <si>
    <t>M0021</t>
  </si>
  <si>
    <t>2024-01-07</t>
  </si>
  <si>
    <t>CLM00089</t>
  </si>
  <si>
    <t>2024-09-15</t>
  </si>
  <si>
    <t>CLM00090</t>
  </si>
  <si>
    <t>2024-11-09</t>
  </si>
  <si>
    <t>CLM00091</t>
  </si>
  <si>
    <t>2024-11-01</t>
  </si>
  <si>
    <t>CLM00092</t>
  </si>
  <si>
    <t>M0042</t>
  </si>
  <si>
    <t>2024-11-02</t>
  </si>
  <si>
    <t>CLM00093</t>
  </si>
  <si>
    <t>2024-02-24</t>
  </si>
  <si>
    <t>CLM00094</t>
  </si>
  <si>
    <t>2024-08-28</t>
  </si>
  <si>
    <t>CLM00095</t>
  </si>
  <si>
    <t>CLM00096</t>
  </si>
  <si>
    <t>CLM00097</t>
  </si>
  <si>
    <t>CLM00098</t>
  </si>
  <si>
    <t>M0017</t>
  </si>
  <si>
    <t>2024-06-14</t>
  </si>
  <si>
    <t>CLM00099</t>
  </si>
  <si>
    <t>2024-08-26</t>
  </si>
  <si>
    <t>CLM00100</t>
  </si>
  <si>
    <t>M0032</t>
  </si>
  <si>
    <t>CLM00101</t>
  </si>
  <si>
    <t>2024-02-17</t>
  </si>
  <si>
    <t>CLM00102</t>
  </si>
  <si>
    <t>2024-11-11</t>
  </si>
  <si>
    <t>CLM00103</t>
  </si>
  <si>
    <t>2024-12-03</t>
  </si>
  <si>
    <t>CLM00104</t>
  </si>
  <si>
    <t>CLM00105</t>
  </si>
  <si>
    <t>2024-12-22</t>
  </si>
  <si>
    <t>CLM00106</t>
  </si>
  <si>
    <t>2024-06-22</t>
  </si>
  <si>
    <t>CLM00107</t>
  </si>
  <si>
    <t>M0012</t>
  </si>
  <si>
    <t>2024-05-05</t>
  </si>
  <si>
    <t>CLM00108</t>
  </si>
  <si>
    <t>M0047</t>
  </si>
  <si>
    <t>2024-04-05</t>
  </si>
  <si>
    <t>CLM00109</t>
  </si>
  <si>
    <t>2024-11-25</t>
  </si>
  <si>
    <t>CLM00110</t>
  </si>
  <si>
    <t>2024-02-02</t>
  </si>
  <si>
    <t>CLM00111</t>
  </si>
  <si>
    <t>M0001</t>
  </si>
  <si>
    <t>CLM00112</t>
  </si>
  <si>
    <t>CLM00113</t>
  </si>
  <si>
    <t>CLM00114</t>
  </si>
  <si>
    <t>2024-07-11</t>
  </si>
  <si>
    <t>CLM00115</t>
  </si>
  <si>
    <t>CLM00116</t>
  </si>
  <si>
    <t>CLM00117</t>
  </si>
  <si>
    <t>M0031</t>
  </si>
  <si>
    <t>2024-06-19</t>
  </si>
  <si>
    <t>CLM00118</t>
  </si>
  <si>
    <t>2024-02-20</t>
  </si>
  <si>
    <t>CLM00119</t>
  </si>
  <si>
    <t>2024-09-16</t>
  </si>
  <si>
    <t>CLM00120</t>
  </si>
  <si>
    <t>2024-02-08</t>
  </si>
  <si>
    <t>CLM00121</t>
  </si>
  <si>
    <t>2024-09-20</t>
  </si>
  <si>
    <t>CLM00122</t>
  </si>
  <si>
    <t>CLM00123</t>
  </si>
  <si>
    <t>2024-11-26</t>
  </si>
  <si>
    <t>CLM00124</t>
  </si>
  <si>
    <t>2024-02-25</t>
  </si>
  <si>
    <t>CLM00125</t>
  </si>
  <si>
    <t>2024-03-11</t>
  </si>
  <si>
    <t>CLM00126</t>
  </si>
  <si>
    <t>2024-03-12</t>
  </si>
  <si>
    <t>CLM00127</t>
  </si>
  <si>
    <t>2024-05-12</t>
  </si>
  <si>
    <t>CLM00128</t>
  </si>
  <si>
    <t>2024-07-21</t>
  </si>
  <si>
    <t>CLM00129</t>
  </si>
  <si>
    <t>CLM00130</t>
  </si>
  <si>
    <t>2024-04-13</t>
  </si>
  <si>
    <t>CLM00131</t>
  </si>
  <si>
    <t>2024-01-27</t>
  </si>
  <si>
    <t>CLM00132</t>
  </si>
  <si>
    <t>2024-08-25</t>
  </si>
  <si>
    <t>CLM00133</t>
  </si>
  <si>
    <t>2024-02-18</t>
  </si>
  <si>
    <t>CLM00134</t>
  </si>
  <si>
    <t>2024-04-22</t>
  </si>
  <si>
    <t>CLM00135</t>
  </si>
  <si>
    <t>CLM00136</t>
  </si>
  <si>
    <t>CLM00137</t>
  </si>
  <si>
    <t>2024-11-23</t>
  </si>
  <si>
    <t>CLM00138</t>
  </si>
  <si>
    <t>CLM00139</t>
  </si>
  <si>
    <t>2024-01-11</t>
  </si>
  <si>
    <t>CLM00140</t>
  </si>
  <si>
    <t>2024-06-10</t>
  </si>
  <si>
    <t>CLM00141</t>
  </si>
  <si>
    <t>2024-06-15</t>
  </si>
  <si>
    <t>CLM00142</t>
  </si>
  <si>
    <t>CLM00143</t>
  </si>
  <si>
    <t>CLM00144</t>
  </si>
  <si>
    <t>CLM00145</t>
  </si>
  <si>
    <t>2024-01-15</t>
  </si>
  <si>
    <t>CLM00146</t>
  </si>
  <si>
    <t>2024-12-26</t>
  </si>
  <si>
    <t>CLM00147</t>
  </si>
  <si>
    <t>2024-09-07</t>
  </si>
  <si>
    <t>CLM00148</t>
  </si>
  <si>
    <t>CLM00149</t>
  </si>
  <si>
    <t>2024-07-22</t>
  </si>
  <si>
    <t>CLM00150</t>
  </si>
  <si>
    <t>2024-11-06</t>
  </si>
  <si>
    <t>CLM00151</t>
  </si>
  <si>
    <t>2024-06-21</t>
  </si>
  <si>
    <t>CLM00152</t>
  </si>
  <si>
    <t>CLM00153</t>
  </si>
  <si>
    <t>2024-11-21</t>
  </si>
  <si>
    <t>CLM00154</t>
  </si>
  <si>
    <t>2024-04-14</t>
  </si>
  <si>
    <t>CLM00155</t>
  </si>
  <si>
    <t>2024-06-18</t>
  </si>
  <si>
    <t>CLM00156</t>
  </si>
  <si>
    <t>CLM00157</t>
  </si>
  <si>
    <t>CLM00158</t>
  </si>
  <si>
    <t>2024-08-18</t>
  </si>
  <si>
    <t>CLM00159</t>
  </si>
  <si>
    <t>CLM00160</t>
  </si>
  <si>
    <t>2024-05-04</t>
  </si>
  <si>
    <t>CLM00161</t>
  </si>
  <si>
    <t>2024-09-02</t>
  </si>
  <si>
    <t>CLM00162</t>
  </si>
  <si>
    <t>CLM00163</t>
  </si>
  <si>
    <t>CLM00164</t>
  </si>
  <si>
    <t>2024-05-26</t>
  </si>
  <si>
    <t>CLM00165</t>
  </si>
  <si>
    <t>2024-08-19</t>
  </si>
  <si>
    <t>CLM00166</t>
  </si>
  <si>
    <t>2024-08-24</t>
  </si>
  <si>
    <t>CLM00167</t>
  </si>
  <si>
    <t>2024-04-11</t>
  </si>
  <si>
    <t>CLM00168</t>
  </si>
  <si>
    <t>CLM00169</t>
  </si>
  <si>
    <t>2024-06-27</t>
  </si>
  <si>
    <t>CLM00170</t>
  </si>
  <si>
    <t>CLM00171</t>
  </si>
  <si>
    <t>CLM00172</t>
  </si>
  <si>
    <t>2024-06-16</t>
  </si>
  <si>
    <t>CLM00173</t>
  </si>
  <si>
    <t>CLM00174</t>
  </si>
  <si>
    <t>2024-08-20</t>
  </si>
  <si>
    <t>CLM00175</t>
  </si>
  <si>
    <t>CLM00176</t>
  </si>
  <si>
    <t>2024-12-20</t>
  </si>
  <si>
    <t>CLM00177</t>
  </si>
  <si>
    <t>2024-06-09</t>
  </si>
  <si>
    <t>CLM00178</t>
  </si>
  <si>
    <t>CLM00179</t>
  </si>
  <si>
    <t>2024-05-20</t>
  </si>
  <si>
    <t>CLM00180</t>
  </si>
  <si>
    <t>CLM00181</t>
  </si>
  <si>
    <t>CLM00182</t>
  </si>
  <si>
    <t>CLM00183</t>
  </si>
  <si>
    <t>CLM00184</t>
  </si>
  <si>
    <t>2024-02-14</t>
  </si>
  <si>
    <t>CLM00185</t>
  </si>
  <si>
    <t>CLM00186</t>
  </si>
  <si>
    <t>CLM00187</t>
  </si>
  <si>
    <t>2024-04-25</t>
  </si>
  <si>
    <t>CLM00188</t>
  </si>
  <si>
    <t>2024-02-15</t>
  </si>
  <si>
    <t>CLM00189</t>
  </si>
  <si>
    <t>CLM00190</t>
  </si>
  <si>
    <t>2024-07-16</t>
  </si>
  <si>
    <t>CLM00191</t>
  </si>
  <si>
    <t>2024-09-28</t>
  </si>
  <si>
    <t>CLM00192</t>
  </si>
  <si>
    <t>M0034</t>
  </si>
  <si>
    <t>2024-08-09</t>
  </si>
  <si>
    <t>CLM00193</t>
  </si>
  <si>
    <t>CLM00194</t>
  </si>
  <si>
    <t>CLM00195</t>
  </si>
  <si>
    <t>CLM00196</t>
  </si>
  <si>
    <t>2024-06-11</t>
  </si>
  <si>
    <t>CLM00197</t>
  </si>
  <si>
    <t>CLM00198</t>
  </si>
  <si>
    <t>CLM00199</t>
  </si>
  <si>
    <t>CLM00200</t>
  </si>
  <si>
    <t>2024-07-02</t>
  </si>
  <si>
    <t>KEY METRICS  —  use formulas in Claims Data sheet to fill these in</t>
  </si>
  <si>
    <t>Total Claims</t>
  </si>
  <si>
    <t>Total Billed ($)</t>
  </si>
  <si>
    <t>Total Paid ($)</t>
  </si>
  <si>
    <t>Approval Rate</t>
  </si>
  <si>
    <t>Denial Rate</t>
  </si>
  <si>
    <t>Avg Claim Value ($)</t>
  </si>
  <si>
    <t>Claims by Status</t>
  </si>
  <si>
    <t>Status</t>
  </si>
  <si>
    <t>Count</t>
  </si>
  <si>
    <t>% of Total</t>
  </si>
  <si>
    <t>Claims by Plan</t>
  </si>
  <si>
    <t>Claim Count</t>
  </si>
  <si>
    <t>Top 5 Diagnoses by Claim Count  (use COUNTIF per diagnosis)</t>
  </si>
  <si>
    <t>← type diagnosis name here</t>
  </si>
  <si>
    <t>← enter COUNTIF formula</t>
  </si>
  <si>
    <t>HEALTH INSURANCE CLAIMS ANALYSIS — GUIDED EXERCISE</t>
  </si>
  <si>
    <t>BACKGROUND</t>
  </si>
  <si>
    <t>You are a junior health data analyst at an insurance company. You have received</t>
  </si>
  <si>
    <t>200 claims records for the fiscal year 2024. Your manager has asked you to</t>
  </si>
  <si>
    <t>produce a summary report to present at a monthly review meeting.</t>
  </si>
  <si>
    <t>TASK 1 — Understand the Data (Start Here)</t>
  </si>
  <si>
    <t>1a. Go to the 'Claims Data' sheet and scroll through the data.</t>
  </si>
  <si>
    <t>1b. Identify the column names and what each one means.</t>
  </si>
  <si>
    <t>1c. How many unique Members are in this dataset? (Hint: use Remove Duplicates</t>
  </si>
  <si>
    <t xml:space="preserve">    on a copy of column B, or COUNTIF / SUMPRODUCT for unique values.)</t>
  </si>
  <si>
    <t>1d. What is the date range of the service dates?</t>
  </si>
  <si>
    <t>TASK 2 — Complete the Summary Dashboard</t>
  </si>
  <si>
    <t>Go to the 'Summary Dashboard' sheet. The green KPI cells already have formulas.</t>
  </si>
  <si>
    <t>2a. Review and verify each formula is pulling correct data.</t>
  </si>
  <si>
    <t>2b. Complete the yellow 'Top 5 Diagnoses' table using COUNTIF:</t>
  </si>
  <si>
    <t xml:space="preserve">    =COUNTIF('Claims Data'!K2:K201, "Type 2 Diabetes")</t>
  </si>
  <si>
    <t xml:space="preserve">    Do this for each major diagnosis. Which appears most often?</t>
  </si>
  <si>
    <t>TASK 3 — Financial Analysis</t>
  </si>
  <si>
    <t>3a. What is the overall claim approval rate?</t>
  </si>
  <si>
    <t>3b. Calculate the average billed vs average paid amount.</t>
  </si>
  <si>
    <t xml:space="preserve">    What does the gap between these two figures tell you?</t>
  </si>
  <si>
    <t>3c. Which plan (Gold/Silver/Bronze) had the highest total paid amount?</t>
  </si>
  <si>
    <t>3d. Use AVERAGEIF to find the average claim value per provider type:</t>
  </si>
  <si>
    <t xml:space="preserve">    =AVERAGEIF('Claims Data'!H2:H201, "Inpatient", 'Claims Data'!L2:L201)</t>
  </si>
  <si>
    <t xml:space="preserve">    Compare Inpatient vs Outpatient vs Emergency. Is this expected clinically?</t>
  </si>
  <si>
    <t>TASK 4 — Pivot Table Analysis</t>
  </si>
  <si>
    <t>4a. Select all data in 'Claims Data' → Insert → PivotTable.</t>
  </si>
  <si>
    <t>4b. Build a PivotTable: Rows = Provider Type, Values = Sum of Billed Amount.</t>
  </si>
  <si>
    <t>4c. Add Claim Status as a Column field. What patterns do you observe?</t>
  </si>
  <si>
    <t>4d. Build a second PivotTable: Rows = ICD-10 Code, Values = Count of Claim ID.</t>
  </si>
  <si>
    <t xml:space="preserve">    Sort descending. What is the most frequently billed diagnosis?</t>
  </si>
  <si>
    <t>TASK 5 — Clinical Interpretation (Your MBChB background helps here!)</t>
  </si>
  <si>
    <t>5a. Look at the denied claims. Are there patterns by diagnosis or provider?</t>
  </si>
  <si>
    <t>5b. Emergency claims tend to be high-cost. Do the data support this?</t>
  </si>
  <si>
    <t>5c. Prior Auth Required = 'Yes' — does approval rate differ for these claims?</t>
  </si>
  <si>
    <t xml:space="preserve">    Hint: Use COUNTIFS with two criteria columns.</t>
  </si>
  <si>
    <t>5d. Reflect: which diagnoses would you expect to have high denial rates in a</t>
  </si>
  <si>
    <t xml:space="preserve">    real insurance setting, and why?</t>
  </si>
  <si>
    <t>BONUS — Chart Building</t>
  </si>
  <si>
    <t>Use your Summary Dashboard tables to create:</t>
  </si>
  <si>
    <t xml:space="preserve">  • A Pie or Donut chart: Claims by Status</t>
  </si>
  <si>
    <t xml:space="preserve">  • A Bar chart: Total Paid by Plan</t>
  </si>
  <si>
    <t xml:space="preserve">  • A Bar chart: Top 5 Diagnoses by Count</t>
  </si>
  <si>
    <t>KEY FORMULAS TO USE IN THIS EXERCISE</t>
  </si>
  <si>
    <t xml:space="preserve">  COUNTIF(range, criteria)          — count cells matching one condition</t>
  </si>
  <si>
    <t xml:space="preserve">  COUNTIFS(range1, c1, range2, c2)  — count cells matching multiple conditions</t>
  </si>
  <si>
    <t xml:space="preserve">  SUMIF(range, criteria, sum_range) — sum values matching a condition</t>
  </si>
  <si>
    <t xml:space="preserve">  AVERAGEIF(range, criteria, avg_range) — average values matching a condition</t>
  </si>
  <si>
    <t xml:space="preserve">  COUNTA(range)                     — count non-empty cells</t>
  </si>
  <si>
    <t xml:space="preserve">  PivotTable                         — Insert &gt; PivotTable &gt; select all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</si>
</sst>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color rgb="FF1F4E79"/>
      <name val="Arial"/>
    </font>
    <font>
      <b/>
      <sz val="11"/>
      <name val="Arial"/>
    </font>
    <font>
      <b/>
      <sz val="10"/>
      <name val="Arial"/>
    </font>
    <font>
      <i/>
      <sz val="10"/>
      <color rgb="FF7F7F7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1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5" fillId="2" borderId="1" xfId="0" applyFont="1" applyFill="1" applyBorder="1" applyAlignment="1">
      <alignment horizontal="center" vertical="center" wrapText="1"/>
    </xf>
    <xf numFmtId="4" fontId="0" fillId="0" borderId="1" xfId="0" applyNumberFormat="1" applyBorder="1"/>
    <xf numFmtId="0" fontId="6" fillId="4" borderId="0" xfId="0" applyFont="1" applyFill="1"/>
    <xf numFmtId="0" fontId="7" fillId="2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zoomScaleNormal="100" workbookViewId="0">
      <selection activeCell="D18" sqref="A1:Q201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5" width="8" customWidth="1"/>
    <col min="6" max="6" width="10" customWidth="1"/>
    <col min="7" max="7" width="22" customWidth="1"/>
    <col min="8" max="10" width="12" customWidth="1"/>
    <col min="11" max="11" width="22" customWidth="1"/>
    <col min="12" max="14" width="16" customWidth="1"/>
    <col min="15" max="15" width="14" customWidth="1"/>
    <col min="16" max="16" width="10" customWidth="1"/>
    <col min="17" max="17" width="16" customWidth="1"/>
  </cols>
  <sheetData>
    <row r="1" spans="1:1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3">
        <v>62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4">
        <v>3409.1</v>
      </c>
      <c r="M2" s="4">
        <v>2103.29</v>
      </c>
      <c r="N2" s="4">
        <v>115.74</v>
      </c>
      <c r="O2" s="4">
        <v>1987.55</v>
      </c>
      <c r="P2" s="2" t="s">
        <v>27</v>
      </c>
      <c r="Q2" s="2" t="s">
        <v>28</v>
      </c>
    </row>
    <row r="3" spans="1:17" x14ac:dyDescent="0.2">
      <c r="A3" s="5" t="s">
        <v>29</v>
      </c>
      <c r="B3" s="5" t="s">
        <v>30</v>
      </c>
      <c r="C3" s="6">
        <v>39</v>
      </c>
      <c r="D3" s="5" t="s">
        <v>19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7">
        <v>7283.92</v>
      </c>
      <c r="M3" s="7">
        <v>5232.58</v>
      </c>
      <c r="N3" s="7">
        <v>113.08</v>
      </c>
      <c r="O3" s="7">
        <v>5119.5</v>
      </c>
      <c r="P3" s="5" t="s">
        <v>27</v>
      </c>
      <c r="Q3" s="5" t="s">
        <v>28</v>
      </c>
    </row>
    <row r="4" spans="1:17" x14ac:dyDescent="0.2">
      <c r="A4" s="2" t="s">
        <v>38</v>
      </c>
      <c r="B4" s="2" t="s">
        <v>18</v>
      </c>
      <c r="C4" s="3">
        <v>49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34</v>
      </c>
      <c r="I4" s="2" t="s">
        <v>43</v>
      </c>
      <c r="J4" s="2" t="s">
        <v>44</v>
      </c>
      <c r="K4" s="2" t="s">
        <v>45</v>
      </c>
      <c r="L4" s="4">
        <v>3442.78</v>
      </c>
      <c r="M4" s="4">
        <v>2115.91</v>
      </c>
      <c r="N4" s="4">
        <v>119.25</v>
      </c>
      <c r="O4" s="4">
        <v>1996.66</v>
      </c>
      <c r="P4" s="2" t="s">
        <v>46</v>
      </c>
      <c r="Q4" s="2" t="s">
        <v>47</v>
      </c>
    </row>
    <row r="5" spans="1:17" x14ac:dyDescent="0.2">
      <c r="A5" s="5" t="s">
        <v>48</v>
      </c>
      <c r="B5" s="5" t="s">
        <v>18</v>
      </c>
      <c r="C5" s="6">
        <v>60</v>
      </c>
      <c r="D5" s="5" t="s">
        <v>19</v>
      </c>
      <c r="E5" s="5" t="s">
        <v>31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7">
        <v>8797.32</v>
      </c>
      <c r="M5" s="7">
        <v>6253.74</v>
      </c>
      <c r="N5" s="7">
        <v>146.51</v>
      </c>
      <c r="O5" s="7">
        <v>0</v>
      </c>
      <c r="P5" s="5" t="s">
        <v>55</v>
      </c>
      <c r="Q5" s="5" t="s">
        <v>47</v>
      </c>
    </row>
    <row r="6" spans="1:17" x14ac:dyDescent="0.2">
      <c r="A6" s="2" t="s">
        <v>56</v>
      </c>
      <c r="B6" s="2" t="s">
        <v>57</v>
      </c>
      <c r="C6" s="3">
        <v>31</v>
      </c>
      <c r="D6" s="2" t="s">
        <v>19</v>
      </c>
      <c r="E6" s="2" t="s">
        <v>40</v>
      </c>
      <c r="F6" s="2" t="s">
        <v>32</v>
      </c>
      <c r="G6" s="2" t="s">
        <v>33</v>
      </c>
      <c r="H6" s="2" t="s">
        <v>34</v>
      </c>
      <c r="I6" s="2" t="s">
        <v>58</v>
      </c>
      <c r="J6" s="2" t="s">
        <v>53</v>
      </c>
      <c r="K6" s="2" t="s">
        <v>54</v>
      </c>
      <c r="L6" s="4">
        <v>974.23</v>
      </c>
      <c r="M6" s="4">
        <v>729.09</v>
      </c>
      <c r="N6" s="4">
        <v>120.5</v>
      </c>
      <c r="O6" s="4">
        <v>608.59</v>
      </c>
      <c r="P6" s="2" t="s">
        <v>46</v>
      </c>
      <c r="Q6" s="2" t="s">
        <v>47</v>
      </c>
    </row>
    <row r="7" spans="1:17" x14ac:dyDescent="0.2">
      <c r="A7" s="5" t="s">
        <v>59</v>
      </c>
      <c r="B7" s="5" t="s">
        <v>60</v>
      </c>
      <c r="C7" s="6">
        <v>65</v>
      </c>
      <c r="D7" s="5" t="s">
        <v>39</v>
      </c>
      <c r="E7" s="5" t="s">
        <v>31</v>
      </c>
      <c r="F7" s="5" t="s">
        <v>49</v>
      </c>
      <c r="G7" s="5" t="s">
        <v>50</v>
      </c>
      <c r="H7" s="5" t="s">
        <v>51</v>
      </c>
      <c r="I7" s="5" t="s">
        <v>61</v>
      </c>
      <c r="J7" s="5" t="s">
        <v>44</v>
      </c>
      <c r="K7" s="5" t="s">
        <v>45</v>
      </c>
      <c r="L7" s="7">
        <v>2632.66</v>
      </c>
      <c r="M7" s="7">
        <v>1658.82</v>
      </c>
      <c r="N7" s="7">
        <v>141.77000000000001</v>
      </c>
      <c r="O7" s="7">
        <v>1517.05</v>
      </c>
      <c r="P7" s="5" t="s">
        <v>46</v>
      </c>
      <c r="Q7" s="5" t="s">
        <v>28</v>
      </c>
    </row>
    <row r="8" spans="1:17" x14ac:dyDescent="0.2">
      <c r="A8" s="2" t="s">
        <v>62</v>
      </c>
      <c r="B8" s="2" t="s">
        <v>63</v>
      </c>
      <c r="C8" s="3">
        <v>45</v>
      </c>
      <c r="D8" s="2" t="s">
        <v>39</v>
      </c>
      <c r="E8" s="2" t="s">
        <v>20</v>
      </c>
      <c r="F8" s="2" t="s">
        <v>41</v>
      </c>
      <c r="G8" s="2" t="s">
        <v>42</v>
      </c>
      <c r="H8" s="2" t="s">
        <v>34</v>
      </c>
      <c r="I8" s="2" t="s">
        <v>64</v>
      </c>
      <c r="J8" s="2" t="s">
        <v>44</v>
      </c>
      <c r="K8" s="2" t="s">
        <v>45</v>
      </c>
      <c r="L8" s="4">
        <v>3348.88</v>
      </c>
      <c r="M8" s="4">
        <v>2771.59</v>
      </c>
      <c r="N8" s="4">
        <v>109.46</v>
      </c>
      <c r="O8" s="4">
        <v>2662.13</v>
      </c>
      <c r="P8" s="2" t="s">
        <v>46</v>
      </c>
      <c r="Q8" s="2" t="s">
        <v>28</v>
      </c>
    </row>
    <row r="9" spans="1:17" x14ac:dyDescent="0.2">
      <c r="A9" s="5" t="s">
        <v>65</v>
      </c>
      <c r="B9" s="5" t="s">
        <v>66</v>
      </c>
      <c r="C9" s="6">
        <v>66</v>
      </c>
      <c r="D9" s="5" t="s">
        <v>19</v>
      </c>
      <c r="E9" s="5" t="s">
        <v>40</v>
      </c>
      <c r="F9" s="5" t="s">
        <v>41</v>
      </c>
      <c r="G9" s="5" t="s">
        <v>42</v>
      </c>
      <c r="H9" s="5" t="s">
        <v>34</v>
      </c>
      <c r="I9" s="5" t="s">
        <v>67</v>
      </c>
      <c r="J9" s="5" t="s">
        <v>68</v>
      </c>
      <c r="K9" s="5" t="s">
        <v>69</v>
      </c>
      <c r="L9" s="7">
        <v>934.33</v>
      </c>
      <c r="M9" s="7">
        <v>769.83</v>
      </c>
      <c r="N9" s="7">
        <v>93.73</v>
      </c>
      <c r="O9" s="7">
        <v>676.1</v>
      </c>
      <c r="P9" s="5" t="s">
        <v>46</v>
      </c>
      <c r="Q9" s="5" t="s">
        <v>47</v>
      </c>
    </row>
    <row r="10" spans="1:17" x14ac:dyDescent="0.2">
      <c r="A10" s="2" t="s">
        <v>70</v>
      </c>
      <c r="B10" s="2" t="s">
        <v>71</v>
      </c>
      <c r="C10" s="3">
        <v>62</v>
      </c>
      <c r="D10" s="2" t="s">
        <v>19</v>
      </c>
      <c r="E10" s="2" t="s">
        <v>40</v>
      </c>
      <c r="F10" s="2" t="s">
        <v>49</v>
      </c>
      <c r="G10" s="2" t="s">
        <v>50</v>
      </c>
      <c r="H10" s="2" t="s">
        <v>51</v>
      </c>
      <c r="I10" s="2" t="s">
        <v>72</v>
      </c>
      <c r="J10" s="2" t="s">
        <v>44</v>
      </c>
      <c r="K10" s="2" t="s">
        <v>45</v>
      </c>
      <c r="L10" s="4">
        <v>3072.54</v>
      </c>
      <c r="M10" s="4">
        <v>2207.34</v>
      </c>
      <c r="N10" s="4">
        <v>54.16</v>
      </c>
      <c r="O10" s="4">
        <v>2153.1799999999998</v>
      </c>
      <c r="P10" s="2" t="s">
        <v>27</v>
      </c>
      <c r="Q10" s="2" t="s">
        <v>28</v>
      </c>
    </row>
    <row r="11" spans="1:17" x14ac:dyDescent="0.2">
      <c r="A11" s="5" t="s">
        <v>73</v>
      </c>
      <c r="B11" s="5" t="s">
        <v>63</v>
      </c>
      <c r="C11" s="6">
        <v>52</v>
      </c>
      <c r="D11" s="5" t="s">
        <v>39</v>
      </c>
      <c r="E11" s="5" t="s">
        <v>40</v>
      </c>
      <c r="F11" s="5" t="s">
        <v>41</v>
      </c>
      <c r="G11" s="5" t="s">
        <v>42</v>
      </c>
      <c r="H11" s="5" t="s">
        <v>34</v>
      </c>
      <c r="I11" s="5" t="s">
        <v>74</v>
      </c>
      <c r="J11" s="5" t="s">
        <v>75</v>
      </c>
      <c r="K11" s="5" t="s">
        <v>76</v>
      </c>
      <c r="L11" s="7">
        <v>9106.02</v>
      </c>
      <c r="M11" s="7">
        <v>7360.68</v>
      </c>
      <c r="N11" s="7">
        <v>39.869999999999997</v>
      </c>
      <c r="O11" s="7">
        <v>7320.81</v>
      </c>
      <c r="P11" s="5" t="s">
        <v>46</v>
      </c>
      <c r="Q11" s="5" t="s">
        <v>47</v>
      </c>
    </row>
    <row r="12" spans="1:17" x14ac:dyDescent="0.2">
      <c r="A12" s="2" t="s">
        <v>77</v>
      </c>
      <c r="B12" s="2" t="s">
        <v>78</v>
      </c>
      <c r="C12" s="3">
        <v>42</v>
      </c>
      <c r="D12" s="2" t="s">
        <v>19</v>
      </c>
      <c r="E12" s="2" t="s">
        <v>20</v>
      </c>
      <c r="F12" s="2" t="s">
        <v>49</v>
      </c>
      <c r="G12" s="2" t="s">
        <v>50</v>
      </c>
      <c r="H12" s="2" t="s">
        <v>51</v>
      </c>
      <c r="I12" s="2" t="s">
        <v>79</v>
      </c>
      <c r="J12" s="2" t="s">
        <v>75</v>
      </c>
      <c r="K12" s="2" t="s">
        <v>76</v>
      </c>
      <c r="L12" s="4">
        <v>10350.24</v>
      </c>
      <c r="M12" s="4">
        <v>5728.28</v>
      </c>
      <c r="N12" s="4">
        <v>113.69</v>
      </c>
      <c r="O12" s="4">
        <v>5614.59</v>
      </c>
      <c r="P12" s="2" t="s">
        <v>27</v>
      </c>
      <c r="Q12" s="2" t="s">
        <v>47</v>
      </c>
    </row>
    <row r="13" spans="1:17" x14ac:dyDescent="0.2">
      <c r="A13" s="5" t="s">
        <v>80</v>
      </c>
      <c r="B13" s="5" t="s">
        <v>78</v>
      </c>
      <c r="C13" s="6">
        <v>36</v>
      </c>
      <c r="D13" s="5" t="s">
        <v>39</v>
      </c>
      <c r="E13" s="5" t="s">
        <v>31</v>
      </c>
      <c r="F13" s="5" t="s">
        <v>41</v>
      </c>
      <c r="G13" s="5" t="s">
        <v>42</v>
      </c>
      <c r="H13" s="5" t="s">
        <v>34</v>
      </c>
      <c r="I13" s="5" t="s">
        <v>81</v>
      </c>
      <c r="J13" s="5" t="s">
        <v>44</v>
      </c>
      <c r="K13" s="5" t="s">
        <v>45</v>
      </c>
      <c r="L13" s="7">
        <v>11452.72</v>
      </c>
      <c r="M13" s="7">
        <v>9308.27</v>
      </c>
      <c r="N13" s="7">
        <v>54.24</v>
      </c>
      <c r="O13" s="7">
        <v>9254.0300000000007</v>
      </c>
      <c r="P13" s="5" t="s">
        <v>27</v>
      </c>
      <c r="Q13" s="5" t="s">
        <v>28</v>
      </c>
    </row>
    <row r="14" spans="1:17" x14ac:dyDescent="0.2">
      <c r="A14" s="2" t="s">
        <v>82</v>
      </c>
      <c r="B14" s="2" t="s">
        <v>60</v>
      </c>
      <c r="C14" s="3">
        <v>45</v>
      </c>
      <c r="D14" s="2" t="s">
        <v>19</v>
      </c>
      <c r="E14" s="2" t="s">
        <v>20</v>
      </c>
      <c r="F14" s="2" t="s">
        <v>49</v>
      </c>
      <c r="G14" s="2" t="s">
        <v>50</v>
      </c>
      <c r="H14" s="2" t="s">
        <v>51</v>
      </c>
      <c r="I14" s="2" t="s">
        <v>83</v>
      </c>
      <c r="J14" s="2" t="s">
        <v>44</v>
      </c>
      <c r="K14" s="2" t="s">
        <v>45</v>
      </c>
      <c r="L14" s="4">
        <v>6541.64</v>
      </c>
      <c r="M14" s="4">
        <v>5125.95</v>
      </c>
      <c r="N14" s="4">
        <v>88.95</v>
      </c>
      <c r="O14" s="4">
        <v>5037</v>
      </c>
      <c r="P14" s="2" t="s">
        <v>46</v>
      </c>
      <c r="Q14" s="2" t="s">
        <v>47</v>
      </c>
    </row>
    <row r="15" spans="1:17" x14ac:dyDescent="0.2">
      <c r="A15" s="5" t="s">
        <v>84</v>
      </c>
      <c r="B15" s="5" t="s">
        <v>85</v>
      </c>
      <c r="C15" s="6">
        <v>73</v>
      </c>
      <c r="D15" s="5" t="s">
        <v>39</v>
      </c>
      <c r="E15" s="5" t="s">
        <v>20</v>
      </c>
      <c r="F15" s="5" t="s">
        <v>32</v>
      </c>
      <c r="G15" s="5" t="s">
        <v>33</v>
      </c>
      <c r="H15" s="5" t="s">
        <v>34</v>
      </c>
      <c r="I15" s="5" t="s">
        <v>86</v>
      </c>
      <c r="J15" s="5" t="s">
        <v>87</v>
      </c>
      <c r="K15" s="5" t="s">
        <v>88</v>
      </c>
      <c r="L15" s="7">
        <v>3004.33</v>
      </c>
      <c r="M15" s="7">
        <v>2163.7399999999998</v>
      </c>
      <c r="N15" s="7">
        <v>30.24</v>
      </c>
      <c r="O15" s="7">
        <v>0</v>
      </c>
      <c r="P15" s="5" t="s">
        <v>55</v>
      </c>
      <c r="Q15" s="5" t="s">
        <v>47</v>
      </c>
    </row>
    <row r="16" spans="1:17" x14ac:dyDescent="0.2">
      <c r="A16" s="2" t="s">
        <v>89</v>
      </c>
      <c r="B16" s="2" t="s">
        <v>78</v>
      </c>
      <c r="C16" s="3">
        <v>71</v>
      </c>
      <c r="D16" s="2" t="s">
        <v>39</v>
      </c>
      <c r="E16" s="2" t="s">
        <v>31</v>
      </c>
      <c r="F16" s="2" t="s">
        <v>32</v>
      </c>
      <c r="G16" s="2" t="s">
        <v>33</v>
      </c>
      <c r="H16" s="2" t="s">
        <v>34</v>
      </c>
      <c r="I16" s="2" t="s">
        <v>90</v>
      </c>
      <c r="J16" s="2" t="s">
        <v>75</v>
      </c>
      <c r="K16" s="2" t="s">
        <v>76</v>
      </c>
      <c r="L16" s="4">
        <v>6402.93</v>
      </c>
      <c r="M16" s="4">
        <v>4686.8100000000004</v>
      </c>
      <c r="N16" s="4">
        <v>145.37</v>
      </c>
      <c r="O16" s="4">
        <v>4541.4399999999996</v>
      </c>
      <c r="P16" s="2" t="s">
        <v>27</v>
      </c>
      <c r="Q16" s="2" t="s">
        <v>47</v>
      </c>
    </row>
    <row r="17" spans="1:17" x14ac:dyDescent="0.2">
      <c r="A17" s="5" t="s">
        <v>91</v>
      </c>
      <c r="B17" s="5" t="s">
        <v>92</v>
      </c>
      <c r="C17" s="6">
        <v>60</v>
      </c>
      <c r="D17" s="5" t="s">
        <v>39</v>
      </c>
      <c r="E17" s="5" t="s">
        <v>31</v>
      </c>
      <c r="F17" s="5" t="s">
        <v>41</v>
      </c>
      <c r="G17" s="5" t="s">
        <v>42</v>
      </c>
      <c r="H17" s="5" t="s">
        <v>34</v>
      </c>
      <c r="I17" s="5" t="s">
        <v>93</v>
      </c>
      <c r="J17" s="5" t="s">
        <v>68</v>
      </c>
      <c r="K17" s="5" t="s">
        <v>69</v>
      </c>
      <c r="L17" s="7">
        <v>5500.11</v>
      </c>
      <c r="M17" s="7">
        <v>3434.11</v>
      </c>
      <c r="N17" s="7">
        <v>28.32</v>
      </c>
      <c r="O17" s="7">
        <v>3405.79</v>
      </c>
      <c r="P17" s="5" t="s">
        <v>46</v>
      </c>
      <c r="Q17" s="5" t="s">
        <v>28</v>
      </c>
    </row>
    <row r="18" spans="1:17" x14ac:dyDescent="0.2">
      <c r="A18" s="2" t="s">
        <v>94</v>
      </c>
      <c r="B18" s="2" t="s">
        <v>95</v>
      </c>
      <c r="C18" s="3">
        <v>42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96</v>
      </c>
      <c r="J18" s="2" t="s">
        <v>25</v>
      </c>
      <c r="K18" s="2" t="s">
        <v>26</v>
      </c>
      <c r="L18" s="4">
        <v>948.69</v>
      </c>
      <c r="M18" s="4">
        <v>530.72</v>
      </c>
      <c r="N18" s="4">
        <v>62.96</v>
      </c>
      <c r="O18" s="4">
        <v>467.76</v>
      </c>
      <c r="P18" s="2" t="s">
        <v>27</v>
      </c>
      <c r="Q18" s="2" t="s">
        <v>28</v>
      </c>
    </row>
    <row r="19" spans="1:17" x14ac:dyDescent="0.2">
      <c r="A19" s="5" t="s">
        <v>97</v>
      </c>
      <c r="B19" s="5" t="s">
        <v>98</v>
      </c>
      <c r="C19" s="6">
        <v>67</v>
      </c>
      <c r="D19" s="5" t="s">
        <v>19</v>
      </c>
      <c r="E19" s="5" t="s">
        <v>40</v>
      </c>
      <c r="F19" s="5" t="s">
        <v>99</v>
      </c>
      <c r="G19" s="5" t="s">
        <v>100</v>
      </c>
      <c r="H19" s="5" t="s">
        <v>34</v>
      </c>
      <c r="I19" s="5" t="s">
        <v>101</v>
      </c>
      <c r="J19" s="5" t="s">
        <v>53</v>
      </c>
      <c r="K19" s="5" t="s">
        <v>54</v>
      </c>
      <c r="L19" s="7">
        <v>3029.52</v>
      </c>
      <c r="M19" s="7">
        <v>2096.1</v>
      </c>
      <c r="N19" s="7">
        <v>72.92</v>
      </c>
      <c r="O19" s="7">
        <v>2023.18</v>
      </c>
      <c r="P19" s="5" t="s">
        <v>46</v>
      </c>
      <c r="Q19" s="5" t="s">
        <v>47</v>
      </c>
    </row>
    <row r="20" spans="1:17" x14ac:dyDescent="0.2">
      <c r="A20" s="2" t="s">
        <v>102</v>
      </c>
      <c r="B20" s="2" t="s">
        <v>98</v>
      </c>
      <c r="C20" s="3">
        <v>40</v>
      </c>
      <c r="D20" s="2" t="s">
        <v>39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103</v>
      </c>
      <c r="J20" s="2" t="s">
        <v>104</v>
      </c>
      <c r="K20" s="2" t="s">
        <v>105</v>
      </c>
      <c r="L20" s="4">
        <v>7893.45</v>
      </c>
      <c r="M20" s="4">
        <v>5871.57</v>
      </c>
      <c r="N20" s="4">
        <v>27.88</v>
      </c>
      <c r="O20" s="4">
        <v>5843.69</v>
      </c>
      <c r="P20" s="2" t="s">
        <v>46</v>
      </c>
      <c r="Q20" s="2" t="s">
        <v>47</v>
      </c>
    </row>
    <row r="21" spans="1:17" x14ac:dyDescent="0.2">
      <c r="A21" s="5" t="s">
        <v>106</v>
      </c>
      <c r="B21" s="5" t="s">
        <v>107</v>
      </c>
      <c r="C21" s="6">
        <v>31</v>
      </c>
      <c r="D21" s="5" t="s">
        <v>39</v>
      </c>
      <c r="E21" s="5" t="s">
        <v>31</v>
      </c>
      <c r="F21" s="5" t="s">
        <v>41</v>
      </c>
      <c r="G21" s="5" t="s">
        <v>42</v>
      </c>
      <c r="H21" s="5" t="s">
        <v>34</v>
      </c>
      <c r="I21" s="5" t="s">
        <v>108</v>
      </c>
      <c r="J21" s="5" t="s">
        <v>44</v>
      </c>
      <c r="K21" s="5" t="s">
        <v>45</v>
      </c>
      <c r="L21" s="7">
        <v>3450.76</v>
      </c>
      <c r="M21" s="7">
        <v>2156.52</v>
      </c>
      <c r="N21" s="7">
        <v>140.02000000000001</v>
      </c>
      <c r="O21" s="7">
        <v>0</v>
      </c>
      <c r="P21" s="5" t="s">
        <v>55</v>
      </c>
      <c r="Q21" s="5" t="s">
        <v>28</v>
      </c>
    </row>
    <row r="22" spans="1:17" x14ac:dyDescent="0.2">
      <c r="A22" s="2" t="s">
        <v>109</v>
      </c>
      <c r="B22" s="2" t="s">
        <v>110</v>
      </c>
      <c r="C22" s="3">
        <v>49</v>
      </c>
      <c r="D22" s="2" t="s">
        <v>39</v>
      </c>
      <c r="E22" s="2" t="s">
        <v>40</v>
      </c>
      <c r="F22" s="2" t="s">
        <v>32</v>
      </c>
      <c r="G22" s="2" t="s">
        <v>33</v>
      </c>
      <c r="H22" s="2" t="s">
        <v>34</v>
      </c>
      <c r="I22" s="2" t="s">
        <v>111</v>
      </c>
      <c r="J22" s="2" t="s">
        <v>25</v>
      </c>
      <c r="K22" s="2" t="s">
        <v>26</v>
      </c>
      <c r="L22" s="4">
        <v>4966.01</v>
      </c>
      <c r="M22" s="4">
        <v>3448.43</v>
      </c>
      <c r="N22" s="4">
        <v>132.4</v>
      </c>
      <c r="O22" s="4">
        <v>3316.03</v>
      </c>
      <c r="P22" s="2" t="s">
        <v>46</v>
      </c>
      <c r="Q22" s="2" t="s">
        <v>47</v>
      </c>
    </row>
    <row r="23" spans="1:17" x14ac:dyDescent="0.2">
      <c r="A23" s="5" t="s">
        <v>112</v>
      </c>
      <c r="B23" s="5" t="s">
        <v>113</v>
      </c>
      <c r="C23" s="6">
        <v>37</v>
      </c>
      <c r="D23" s="5" t="s">
        <v>19</v>
      </c>
      <c r="E23" s="5" t="s">
        <v>20</v>
      </c>
      <c r="F23" s="5" t="s">
        <v>41</v>
      </c>
      <c r="G23" s="5" t="s">
        <v>42</v>
      </c>
      <c r="H23" s="5" t="s">
        <v>34</v>
      </c>
      <c r="I23" s="5" t="s">
        <v>114</v>
      </c>
      <c r="J23" s="5" t="s">
        <v>87</v>
      </c>
      <c r="K23" s="5" t="s">
        <v>88</v>
      </c>
      <c r="L23" s="7">
        <v>11494.21</v>
      </c>
      <c r="M23" s="7">
        <v>9754.2900000000009</v>
      </c>
      <c r="N23" s="7">
        <v>92.25</v>
      </c>
      <c r="O23" s="7">
        <v>0</v>
      </c>
      <c r="P23" s="5" t="s">
        <v>55</v>
      </c>
      <c r="Q23" s="5" t="s">
        <v>28</v>
      </c>
    </row>
    <row r="24" spans="1:17" x14ac:dyDescent="0.2">
      <c r="A24" s="2" t="s">
        <v>115</v>
      </c>
      <c r="B24" s="2" t="s">
        <v>116</v>
      </c>
      <c r="C24" s="3">
        <v>57</v>
      </c>
      <c r="D24" s="2" t="s">
        <v>39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117</v>
      </c>
      <c r="J24" s="2" t="s">
        <v>68</v>
      </c>
      <c r="K24" s="2" t="s">
        <v>69</v>
      </c>
      <c r="L24" s="4">
        <v>7072.5</v>
      </c>
      <c r="M24" s="4">
        <v>4956.8</v>
      </c>
      <c r="N24" s="4">
        <v>130.85</v>
      </c>
      <c r="O24" s="4">
        <v>4825.95</v>
      </c>
      <c r="P24" s="2" t="s">
        <v>46</v>
      </c>
      <c r="Q24" s="2" t="s">
        <v>28</v>
      </c>
    </row>
    <row r="25" spans="1:17" x14ac:dyDescent="0.2">
      <c r="A25" s="5" t="s">
        <v>118</v>
      </c>
      <c r="B25" s="5" t="s">
        <v>119</v>
      </c>
      <c r="C25" s="6">
        <v>30</v>
      </c>
      <c r="D25" s="5" t="s">
        <v>19</v>
      </c>
      <c r="E25" s="5" t="s">
        <v>31</v>
      </c>
      <c r="F25" s="5" t="s">
        <v>41</v>
      </c>
      <c r="G25" s="5" t="s">
        <v>42</v>
      </c>
      <c r="H25" s="5" t="s">
        <v>34</v>
      </c>
      <c r="I25" s="5" t="s">
        <v>120</v>
      </c>
      <c r="J25" s="5" t="s">
        <v>36</v>
      </c>
      <c r="K25" s="5" t="s">
        <v>37</v>
      </c>
      <c r="L25" s="7">
        <v>11307.91</v>
      </c>
      <c r="M25" s="7">
        <v>8151.9</v>
      </c>
      <c r="N25" s="7">
        <v>95.26</v>
      </c>
      <c r="O25" s="7">
        <v>8056.64</v>
      </c>
      <c r="P25" s="5" t="s">
        <v>46</v>
      </c>
      <c r="Q25" s="5" t="s">
        <v>47</v>
      </c>
    </row>
    <row r="26" spans="1:17" x14ac:dyDescent="0.2">
      <c r="A26" s="2" t="s">
        <v>121</v>
      </c>
      <c r="B26" s="2" t="s">
        <v>122</v>
      </c>
      <c r="C26" s="3">
        <v>45</v>
      </c>
      <c r="D26" s="2" t="s">
        <v>39</v>
      </c>
      <c r="E26" s="2" t="s">
        <v>20</v>
      </c>
      <c r="F26" s="2" t="s">
        <v>32</v>
      </c>
      <c r="G26" s="2" t="s">
        <v>33</v>
      </c>
      <c r="H26" s="2" t="s">
        <v>34</v>
      </c>
      <c r="I26" s="2" t="s">
        <v>123</v>
      </c>
      <c r="J26" s="2" t="s">
        <v>87</v>
      </c>
      <c r="K26" s="2" t="s">
        <v>88</v>
      </c>
      <c r="L26" s="4">
        <v>8636.8700000000008</v>
      </c>
      <c r="M26" s="4">
        <v>5368.73</v>
      </c>
      <c r="N26" s="4">
        <v>71.45</v>
      </c>
      <c r="O26" s="4">
        <v>5297.28</v>
      </c>
      <c r="P26" s="2" t="s">
        <v>46</v>
      </c>
      <c r="Q26" s="2" t="s">
        <v>28</v>
      </c>
    </row>
    <row r="27" spans="1:17" x14ac:dyDescent="0.2">
      <c r="A27" s="5" t="s">
        <v>124</v>
      </c>
      <c r="B27" s="5" t="s">
        <v>95</v>
      </c>
      <c r="C27" s="6">
        <v>48</v>
      </c>
      <c r="D27" s="5" t="s">
        <v>19</v>
      </c>
      <c r="E27" s="5" t="s">
        <v>20</v>
      </c>
      <c r="F27" s="5" t="s">
        <v>99</v>
      </c>
      <c r="G27" s="5" t="s">
        <v>100</v>
      </c>
      <c r="H27" s="5" t="s">
        <v>34</v>
      </c>
      <c r="I27" s="5" t="s">
        <v>125</v>
      </c>
      <c r="J27" s="5" t="s">
        <v>25</v>
      </c>
      <c r="K27" s="5" t="s">
        <v>26</v>
      </c>
      <c r="L27" s="7">
        <v>6144.73</v>
      </c>
      <c r="M27" s="7">
        <v>3623.77</v>
      </c>
      <c r="N27" s="7">
        <v>65.37</v>
      </c>
      <c r="O27" s="7">
        <v>3558.4</v>
      </c>
      <c r="P27" s="5" t="s">
        <v>46</v>
      </c>
      <c r="Q27" s="5" t="s">
        <v>47</v>
      </c>
    </row>
    <row r="28" spans="1:17" x14ac:dyDescent="0.2">
      <c r="A28" s="2" t="s">
        <v>126</v>
      </c>
      <c r="B28" s="2" t="s">
        <v>127</v>
      </c>
      <c r="C28" s="3">
        <v>41</v>
      </c>
      <c r="D28" s="2" t="s">
        <v>39</v>
      </c>
      <c r="E28" s="2" t="s">
        <v>20</v>
      </c>
      <c r="F28" s="2" t="s">
        <v>99</v>
      </c>
      <c r="G28" s="2" t="s">
        <v>100</v>
      </c>
      <c r="H28" s="2" t="s">
        <v>34</v>
      </c>
      <c r="I28" s="2" t="s">
        <v>128</v>
      </c>
      <c r="J28" s="2" t="s">
        <v>53</v>
      </c>
      <c r="K28" s="2" t="s">
        <v>54</v>
      </c>
      <c r="L28" s="4">
        <v>8064.18</v>
      </c>
      <c r="M28" s="4">
        <v>5777.02</v>
      </c>
      <c r="N28" s="4">
        <v>141.13</v>
      </c>
      <c r="O28" s="4">
        <v>5635.89</v>
      </c>
      <c r="P28" s="2" t="s">
        <v>46</v>
      </c>
      <c r="Q28" s="2" t="s">
        <v>28</v>
      </c>
    </row>
    <row r="29" spans="1:17" x14ac:dyDescent="0.2">
      <c r="A29" s="5" t="s">
        <v>129</v>
      </c>
      <c r="B29" s="5" t="s">
        <v>130</v>
      </c>
      <c r="C29" s="6">
        <v>56</v>
      </c>
      <c r="D29" s="5" t="s">
        <v>19</v>
      </c>
      <c r="E29" s="5" t="s">
        <v>20</v>
      </c>
      <c r="F29" s="5" t="s">
        <v>49</v>
      </c>
      <c r="G29" s="5" t="s">
        <v>50</v>
      </c>
      <c r="H29" s="5" t="s">
        <v>51</v>
      </c>
      <c r="I29" s="5" t="s">
        <v>131</v>
      </c>
      <c r="J29" s="5" t="s">
        <v>87</v>
      </c>
      <c r="K29" s="5" t="s">
        <v>88</v>
      </c>
      <c r="L29" s="7">
        <v>2645.96</v>
      </c>
      <c r="M29" s="7">
        <v>1727.45</v>
      </c>
      <c r="N29" s="7">
        <v>109.37</v>
      </c>
      <c r="O29" s="7">
        <v>1618.08</v>
      </c>
      <c r="P29" s="5" t="s">
        <v>46</v>
      </c>
      <c r="Q29" s="5" t="s">
        <v>47</v>
      </c>
    </row>
    <row r="30" spans="1:17" x14ac:dyDescent="0.2">
      <c r="A30" s="2" t="s">
        <v>132</v>
      </c>
      <c r="B30" s="2" t="s">
        <v>133</v>
      </c>
      <c r="C30" s="3">
        <v>53</v>
      </c>
      <c r="D30" s="2" t="s">
        <v>19</v>
      </c>
      <c r="E30" s="2" t="s">
        <v>31</v>
      </c>
      <c r="F30" s="2" t="s">
        <v>21</v>
      </c>
      <c r="G30" s="2" t="s">
        <v>22</v>
      </c>
      <c r="H30" s="2" t="s">
        <v>23</v>
      </c>
      <c r="I30" s="2" t="s">
        <v>134</v>
      </c>
      <c r="J30" s="2" t="s">
        <v>87</v>
      </c>
      <c r="K30" s="2" t="s">
        <v>88</v>
      </c>
      <c r="L30" s="4">
        <v>4102.6400000000003</v>
      </c>
      <c r="M30" s="4">
        <v>2417.46</v>
      </c>
      <c r="N30" s="4">
        <v>147.37</v>
      </c>
      <c r="O30" s="4">
        <v>2270.09</v>
      </c>
      <c r="P30" s="2" t="s">
        <v>46</v>
      </c>
      <c r="Q30" s="2" t="s">
        <v>28</v>
      </c>
    </row>
    <row r="31" spans="1:17" x14ac:dyDescent="0.2">
      <c r="A31" s="5" t="s">
        <v>135</v>
      </c>
      <c r="B31" s="5" t="s">
        <v>127</v>
      </c>
      <c r="C31" s="6">
        <v>27</v>
      </c>
      <c r="D31" s="5" t="s">
        <v>19</v>
      </c>
      <c r="E31" s="5" t="s">
        <v>40</v>
      </c>
      <c r="F31" s="5" t="s">
        <v>32</v>
      </c>
      <c r="G31" s="5" t="s">
        <v>33</v>
      </c>
      <c r="H31" s="5" t="s">
        <v>34</v>
      </c>
      <c r="I31" s="5" t="s">
        <v>136</v>
      </c>
      <c r="J31" s="5" t="s">
        <v>25</v>
      </c>
      <c r="K31" s="5" t="s">
        <v>26</v>
      </c>
      <c r="L31" s="7">
        <v>576.92999999999995</v>
      </c>
      <c r="M31" s="7">
        <v>381.22</v>
      </c>
      <c r="N31" s="7">
        <v>91.83</v>
      </c>
      <c r="O31" s="7">
        <v>0</v>
      </c>
      <c r="P31" s="5" t="s">
        <v>55</v>
      </c>
      <c r="Q31" s="5" t="s">
        <v>28</v>
      </c>
    </row>
    <row r="32" spans="1:17" x14ac:dyDescent="0.2">
      <c r="A32" s="2" t="s">
        <v>137</v>
      </c>
      <c r="B32" s="2" t="s">
        <v>119</v>
      </c>
      <c r="C32" s="3">
        <v>72</v>
      </c>
      <c r="D32" s="2" t="s">
        <v>39</v>
      </c>
      <c r="E32" s="2" t="s">
        <v>20</v>
      </c>
      <c r="F32" s="2" t="s">
        <v>32</v>
      </c>
      <c r="G32" s="2" t="s">
        <v>33</v>
      </c>
      <c r="H32" s="2" t="s">
        <v>34</v>
      </c>
      <c r="I32" s="2" t="s">
        <v>138</v>
      </c>
      <c r="J32" s="2" t="s">
        <v>68</v>
      </c>
      <c r="K32" s="2" t="s">
        <v>69</v>
      </c>
      <c r="L32" s="4">
        <v>3106.93</v>
      </c>
      <c r="M32" s="4">
        <v>1804.62</v>
      </c>
      <c r="N32" s="4">
        <v>121.42</v>
      </c>
      <c r="O32" s="4">
        <v>0</v>
      </c>
      <c r="P32" s="2" t="s">
        <v>55</v>
      </c>
      <c r="Q32" s="2" t="s">
        <v>28</v>
      </c>
    </row>
    <row r="33" spans="1:17" x14ac:dyDescent="0.2">
      <c r="A33" s="5" t="s">
        <v>139</v>
      </c>
      <c r="B33" s="5" t="s">
        <v>140</v>
      </c>
      <c r="C33" s="6">
        <v>72</v>
      </c>
      <c r="D33" s="5" t="s">
        <v>39</v>
      </c>
      <c r="E33" s="5" t="s">
        <v>40</v>
      </c>
      <c r="F33" s="5" t="s">
        <v>41</v>
      </c>
      <c r="G33" s="5" t="s">
        <v>42</v>
      </c>
      <c r="H33" s="5" t="s">
        <v>34</v>
      </c>
      <c r="I33" s="5" t="s">
        <v>141</v>
      </c>
      <c r="J33" s="5" t="s">
        <v>44</v>
      </c>
      <c r="K33" s="5" t="s">
        <v>45</v>
      </c>
      <c r="L33" s="7">
        <v>2275.42</v>
      </c>
      <c r="M33" s="7">
        <v>1882.56</v>
      </c>
      <c r="N33" s="7">
        <v>121.71</v>
      </c>
      <c r="O33" s="7">
        <v>0</v>
      </c>
      <c r="P33" s="5" t="s">
        <v>55</v>
      </c>
      <c r="Q33" s="5" t="s">
        <v>28</v>
      </c>
    </row>
    <row r="34" spans="1:17" x14ac:dyDescent="0.2">
      <c r="A34" s="2" t="s">
        <v>142</v>
      </c>
      <c r="B34" s="2" t="s">
        <v>57</v>
      </c>
      <c r="C34" s="3">
        <v>39</v>
      </c>
      <c r="D34" s="2" t="s">
        <v>39</v>
      </c>
      <c r="E34" s="2" t="s">
        <v>31</v>
      </c>
      <c r="F34" s="2" t="s">
        <v>21</v>
      </c>
      <c r="G34" s="2" t="s">
        <v>22</v>
      </c>
      <c r="H34" s="2" t="s">
        <v>23</v>
      </c>
      <c r="I34" s="2" t="s">
        <v>143</v>
      </c>
      <c r="J34" s="2" t="s">
        <v>144</v>
      </c>
      <c r="K34" s="2" t="s">
        <v>145</v>
      </c>
      <c r="L34" s="4">
        <v>2785.84</v>
      </c>
      <c r="M34" s="4">
        <v>2214.6799999999998</v>
      </c>
      <c r="N34" s="4">
        <v>79.84</v>
      </c>
      <c r="O34" s="4">
        <v>2134.84</v>
      </c>
      <c r="P34" s="2" t="s">
        <v>46</v>
      </c>
      <c r="Q34" s="2" t="s">
        <v>47</v>
      </c>
    </row>
    <row r="35" spans="1:17" x14ac:dyDescent="0.2">
      <c r="A35" s="5" t="s">
        <v>146</v>
      </c>
      <c r="B35" s="5" t="s">
        <v>63</v>
      </c>
      <c r="C35" s="6">
        <v>59</v>
      </c>
      <c r="D35" s="5" t="s">
        <v>19</v>
      </c>
      <c r="E35" s="5" t="s">
        <v>20</v>
      </c>
      <c r="F35" s="5" t="s">
        <v>49</v>
      </c>
      <c r="G35" s="5" t="s">
        <v>50</v>
      </c>
      <c r="H35" s="5" t="s">
        <v>51</v>
      </c>
      <c r="I35" s="5" t="s">
        <v>147</v>
      </c>
      <c r="J35" s="5" t="s">
        <v>68</v>
      </c>
      <c r="K35" s="5" t="s">
        <v>69</v>
      </c>
      <c r="L35" s="7">
        <v>11607.64</v>
      </c>
      <c r="M35" s="7">
        <v>7356.2</v>
      </c>
      <c r="N35" s="7">
        <v>103.39</v>
      </c>
      <c r="O35" s="7">
        <v>0</v>
      </c>
      <c r="P35" s="5" t="s">
        <v>55</v>
      </c>
      <c r="Q35" s="5" t="s">
        <v>47</v>
      </c>
    </row>
    <row r="36" spans="1:17" x14ac:dyDescent="0.2">
      <c r="A36" s="2" t="s">
        <v>148</v>
      </c>
      <c r="B36" s="2" t="s">
        <v>71</v>
      </c>
      <c r="C36" s="3">
        <v>63</v>
      </c>
      <c r="D36" s="2" t="s">
        <v>39</v>
      </c>
      <c r="E36" s="2" t="s">
        <v>40</v>
      </c>
      <c r="F36" s="2" t="s">
        <v>99</v>
      </c>
      <c r="G36" s="2" t="s">
        <v>100</v>
      </c>
      <c r="H36" s="2" t="s">
        <v>34</v>
      </c>
      <c r="I36" s="2" t="s">
        <v>149</v>
      </c>
      <c r="J36" s="2" t="s">
        <v>44</v>
      </c>
      <c r="K36" s="2" t="s">
        <v>45</v>
      </c>
      <c r="L36" s="4">
        <v>603.35</v>
      </c>
      <c r="M36" s="4">
        <v>439.82</v>
      </c>
      <c r="N36" s="4">
        <v>64.94</v>
      </c>
      <c r="O36" s="4">
        <v>374.88</v>
      </c>
      <c r="P36" s="2" t="s">
        <v>46</v>
      </c>
      <c r="Q36" s="2" t="s">
        <v>28</v>
      </c>
    </row>
    <row r="37" spans="1:17" x14ac:dyDescent="0.2">
      <c r="A37" s="5" t="s">
        <v>150</v>
      </c>
      <c r="B37" s="5" t="s">
        <v>151</v>
      </c>
      <c r="C37" s="6">
        <v>52</v>
      </c>
      <c r="D37" s="5" t="s">
        <v>39</v>
      </c>
      <c r="E37" s="5" t="s">
        <v>31</v>
      </c>
      <c r="F37" s="5" t="s">
        <v>21</v>
      </c>
      <c r="G37" s="5" t="s">
        <v>22</v>
      </c>
      <c r="H37" s="5" t="s">
        <v>23</v>
      </c>
      <c r="I37" s="5" t="s">
        <v>152</v>
      </c>
      <c r="J37" s="5" t="s">
        <v>87</v>
      </c>
      <c r="K37" s="5" t="s">
        <v>88</v>
      </c>
      <c r="L37" s="7">
        <v>5317.28</v>
      </c>
      <c r="M37" s="7">
        <v>3753.87</v>
      </c>
      <c r="N37" s="7">
        <v>124.85</v>
      </c>
      <c r="O37" s="7">
        <v>3629.02</v>
      </c>
      <c r="P37" s="5" t="s">
        <v>46</v>
      </c>
      <c r="Q37" s="5" t="s">
        <v>47</v>
      </c>
    </row>
    <row r="38" spans="1:17" x14ac:dyDescent="0.2">
      <c r="A38" s="2" t="s">
        <v>153</v>
      </c>
      <c r="B38" s="2" t="s">
        <v>107</v>
      </c>
      <c r="C38" s="3">
        <v>33</v>
      </c>
      <c r="D38" s="2" t="s">
        <v>39</v>
      </c>
      <c r="E38" s="2" t="s">
        <v>40</v>
      </c>
      <c r="F38" s="2" t="s">
        <v>49</v>
      </c>
      <c r="G38" s="2" t="s">
        <v>50</v>
      </c>
      <c r="H38" s="2" t="s">
        <v>51</v>
      </c>
      <c r="I38" s="2" t="s">
        <v>154</v>
      </c>
      <c r="J38" s="2" t="s">
        <v>25</v>
      </c>
      <c r="K38" s="2" t="s">
        <v>26</v>
      </c>
      <c r="L38" s="4">
        <v>3815.02</v>
      </c>
      <c r="M38" s="4">
        <v>2565.67</v>
      </c>
      <c r="N38" s="4">
        <v>72.31</v>
      </c>
      <c r="O38" s="4">
        <v>2493.36</v>
      </c>
      <c r="P38" s="2" t="s">
        <v>46</v>
      </c>
      <c r="Q38" s="2" t="s">
        <v>47</v>
      </c>
    </row>
    <row r="39" spans="1:17" x14ac:dyDescent="0.2">
      <c r="A39" s="5" t="s">
        <v>155</v>
      </c>
      <c r="B39" s="5" t="s">
        <v>66</v>
      </c>
      <c r="C39" s="6">
        <v>52</v>
      </c>
      <c r="D39" s="5" t="s">
        <v>19</v>
      </c>
      <c r="E39" s="5" t="s">
        <v>40</v>
      </c>
      <c r="F39" s="5" t="s">
        <v>99</v>
      </c>
      <c r="G39" s="5" t="s">
        <v>100</v>
      </c>
      <c r="H39" s="5" t="s">
        <v>34</v>
      </c>
      <c r="I39" s="5" t="s">
        <v>156</v>
      </c>
      <c r="J39" s="5" t="s">
        <v>44</v>
      </c>
      <c r="K39" s="5" t="s">
        <v>45</v>
      </c>
      <c r="L39" s="7">
        <v>3716.26</v>
      </c>
      <c r="M39" s="7">
        <v>2654.83</v>
      </c>
      <c r="N39" s="7">
        <v>20.05</v>
      </c>
      <c r="O39" s="7">
        <v>2634.78</v>
      </c>
      <c r="P39" s="5" t="s">
        <v>46</v>
      </c>
      <c r="Q39" s="5" t="s">
        <v>47</v>
      </c>
    </row>
    <row r="40" spans="1:17" x14ac:dyDescent="0.2">
      <c r="A40" s="2" t="s">
        <v>157</v>
      </c>
      <c r="B40" s="2" t="s">
        <v>158</v>
      </c>
      <c r="C40" s="3">
        <v>57</v>
      </c>
      <c r="D40" s="2" t="s">
        <v>19</v>
      </c>
      <c r="E40" s="2" t="s">
        <v>20</v>
      </c>
      <c r="F40" s="2" t="s">
        <v>99</v>
      </c>
      <c r="G40" s="2" t="s">
        <v>100</v>
      </c>
      <c r="H40" s="2" t="s">
        <v>34</v>
      </c>
      <c r="I40" s="2" t="s">
        <v>159</v>
      </c>
      <c r="J40" s="2" t="s">
        <v>36</v>
      </c>
      <c r="K40" s="2" t="s">
        <v>37</v>
      </c>
      <c r="L40" s="4">
        <v>9555.76</v>
      </c>
      <c r="M40" s="4">
        <v>8007.25</v>
      </c>
      <c r="N40" s="4">
        <v>115.67</v>
      </c>
      <c r="O40" s="4">
        <v>7891.58</v>
      </c>
      <c r="P40" s="2" t="s">
        <v>46</v>
      </c>
      <c r="Q40" s="2" t="s">
        <v>28</v>
      </c>
    </row>
    <row r="41" spans="1:17" x14ac:dyDescent="0.2">
      <c r="A41" s="5" t="s">
        <v>160</v>
      </c>
      <c r="B41" s="5" t="s">
        <v>161</v>
      </c>
      <c r="C41" s="6">
        <v>29</v>
      </c>
      <c r="D41" s="5" t="s">
        <v>19</v>
      </c>
      <c r="E41" s="5" t="s">
        <v>40</v>
      </c>
      <c r="F41" s="5" t="s">
        <v>32</v>
      </c>
      <c r="G41" s="5" t="s">
        <v>33</v>
      </c>
      <c r="H41" s="5" t="s">
        <v>34</v>
      </c>
      <c r="I41" s="5" t="s">
        <v>162</v>
      </c>
      <c r="J41" s="5" t="s">
        <v>87</v>
      </c>
      <c r="K41" s="5" t="s">
        <v>88</v>
      </c>
      <c r="L41" s="7">
        <v>1896.14</v>
      </c>
      <c r="M41" s="7">
        <v>1069.17</v>
      </c>
      <c r="N41" s="7">
        <v>147.91</v>
      </c>
      <c r="O41" s="7">
        <v>921.26</v>
      </c>
      <c r="P41" s="5" t="s">
        <v>27</v>
      </c>
      <c r="Q41" s="5" t="s">
        <v>28</v>
      </c>
    </row>
    <row r="42" spans="1:17" x14ac:dyDescent="0.2">
      <c r="A42" s="2" t="s">
        <v>163</v>
      </c>
      <c r="B42" s="2" t="s">
        <v>161</v>
      </c>
      <c r="C42" s="3">
        <v>52</v>
      </c>
      <c r="D42" s="2" t="s">
        <v>39</v>
      </c>
      <c r="E42" s="2" t="s">
        <v>20</v>
      </c>
      <c r="F42" s="2" t="s">
        <v>41</v>
      </c>
      <c r="G42" s="2" t="s">
        <v>42</v>
      </c>
      <c r="H42" s="2" t="s">
        <v>34</v>
      </c>
      <c r="I42" s="2" t="s">
        <v>164</v>
      </c>
      <c r="J42" s="2" t="s">
        <v>144</v>
      </c>
      <c r="K42" s="2" t="s">
        <v>145</v>
      </c>
      <c r="L42" s="4">
        <v>3041.22</v>
      </c>
      <c r="M42" s="4">
        <v>2271.2399999999998</v>
      </c>
      <c r="N42" s="4">
        <v>20.72</v>
      </c>
      <c r="O42" s="4">
        <v>2250.52</v>
      </c>
      <c r="P42" s="2" t="s">
        <v>46</v>
      </c>
      <c r="Q42" s="2" t="s">
        <v>47</v>
      </c>
    </row>
    <row r="43" spans="1:17" x14ac:dyDescent="0.2">
      <c r="A43" s="5" t="s">
        <v>165</v>
      </c>
      <c r="B43" s="5" t="s">
        <v>140</v>
      </c>
      <c r="C43" s="6">
        <v>58</v>
      </c>
      <c r="D43" s="5" t="s">
        <v>19</v>
      </c>
      <c r="E43" s="5" t="s">
        <v>40</v>
      </c>
      <c r="F43" s="5" t="s">
        <v>99</v>
      </c>
      <c r="G43" s="5" t="s">
        <v>100</v>
      </c>
      <c r="H43" s="5" t="s">
        <v>34</v>
      </c>
      <c r="I43" s="5" t="s">
        <v>166</v>
      </c>
      <c r="J43" s="5" t="s">
        <v>167</v>
      </c>
      <c r="K43" s="5" t="s">
        <v>168</v>
      </c>
      <c r="L43" s="7">
        <v>11022.02</v>
      </c>
      <c r="M43" s="7">
        <v>6463.4</v>
      </c>
      <c r="N43" s="7">
        <v>37.33</v>
      </c>
      <c r="O43" s="7">
        <v>0</v>
      </c>
      <c r="P43" s="5" t="s">
        <v>55</v>
      </c>
      <c r="Q43" s="5" t="s">
        <v>47</v>
      </c>
    </row>
    <row r="44" spans="1:17" x14ac:dyDescent="0.2">
      <c r="A44" s="2" t="s">
        <v>169</v>
      </c>
      <c r="B44" s="2" t="s">
        <v>170</v>
      </c>
      <c r="C44" s="3">
        <v>42</v>
      </c>
      <c r="D44" s="2" t="s">
        <v>19</v>
      </c>
      <c r="E44" s="2" t="s">
        <v>31</v>
      </c>
      <c r="F44" s="2" t="s">
        <v>41</v>
      </c>
      <c r="G44" s="2" t="s">
        <v>42</v>
      </c>
      <c r="H44" s="2" t="s">
        <v>34</v>
      </c>
      <c r="I44" s="2" t="s">
        <v>72</v>
      </c>
      <c r="J44" s="2" t="s">
        <v>75</v>
      </c>
      <c r="K44" s="2" t="s">
        <v>76</v>
      </c>
      <c r="L44" s="4">
        <v>8962.32</v>
      </c>
      <c r="M44" s="4">
        <v>6205.53</v>
      </c>
      <c r="N44" s="4">
        <v>53.69</v>
      </c>
      <c r="O44" s="4">
        <v>6151.84</v>
      </c>
      <c r="P44" s="2" t="s">
        <v>46</v>
      </c>
      <c r="Q44" s="2" t="s">
        <v>47</v>
      </c>
    </row>
    <row r="45" spans="1:17" x14ac:dyDescent="0.2">
      <c r="A45" s="5" t="s">
        <v>171</v>
      </c>
      <c r="B45" s="5" t="s">
        <v>18</v>
      </c>
      <c r="C45" s="6">
        <v>33</v>
      </c>
      <c r="D45" s="5" t="s">
        <v>39</v>
      </c>
      <c r="E45" s="5" t="s">
        <v>20</v>
      </c>
      <c r="F45" s="5" t="s">
        <v>21</v>
      </c>
      <c r="G45" s="5" t="s">
        <v>22</v>
      </c>
      <c r="H45" s="5" t="s">
        <v>23</v>
      </c>
      <c r="I45" s="5" t="s">
        <v>172</v>
      </c>
      <c r="J45" s="5" t="s">
        <v>104</v>
      </c>
      <c r="K45" s="5" t="s">
        <v>105</v>
      </c>
      <c r="L45" s="7">
        <v>3535.88</v>
      </c>
      <c r="M45" s="7">
        <v>2232.96</v>
      </c>
      <c r="N45" s="7">
        <v>61.56</v>
      </c>
      <c r="O45" s="7">
        <v>2171.4</v>
      </c>
      <c r="P45" s="5" t="s">
        <v>27</v>
      </c>
      <c r="Q45" s="5" t="s">
        <v>28</v>
      </c>
    </row>
    <row r="46" spans="1:17" x14ac:dyDescent="0.2">
      <c r="A46" s="2" t="s">
        <v>173</v>
      </c>
      <c r="B46" s="2" t="s">
        <v>30</v>
      </c>
      <c r="C46" s="3">
        <v>49</v>
      </c>
      <c r="D46" s="2" t="s">
        <v>39</v>
      </c>
      <c r="E46" s="2" t="s">
        <v>31</v>
      </c>
      <c r="F46" s="2" t="s">
        <v>21</v>
      </c>
      <c r="G46" s="2" t="s">
        <v>22</v>
      </c>
      <c r="H46" s="2" t="s">
        <v>23</v>
      </c>
      <c r="I46" s="2" t="s">
        <v>174</v>
      </c>
      <c r="J46" s="2" t="s">
        <v>36</v>
      </c>
      <c r="K46" s="2" t="s">
        <v>37</v>
      </c>
      <c r="L46" s="4">
        <v>4980.05</v>
      </c>
      <c r="M46" s="4">
        <v>3549.7</v>
      </c>
      <c r="N46" s="4">
        <v>74.05</v>
      </c>
      <c r="O46" s="4">
        <v>3475.65</v>
      </c>
      <c r="P46" s="2" t="s">
        <v>46</v>
      </c>
      <c r="Q46" s="2" t="s">
        <v>47</v>
      </c>
    </row>
    <row r="47" spans="1:17" x14ac:dyDescent="0.2">
      <c r="A47" s="5" t="s">
        <v>175</v>
      </c>
      <c r="B47" s="5" t="s">
        <v>176</v>
      </c>
      <c r="C47" s="6">
        <v>72</v>
      </c>
      <c r="D47" s="5" t="s">
        <v>39</v>
      </c>
      <c r="E47" s="5" t="s">
        <v>40</v>
      </c>
      <c r="F47" s="5" t="s">
        <v>49</v>
      </c>
      <c r="G47" s="5" t="s">
        <v>50</v>
      </c>
      <c r="H47" s="5" t="s">
        <v>51</v>
      </c>
      <c r="I47" s="5" t="s">
        <v>177</v>
      </c>
      <c r="J47" s="5" t="s">
        <v>167</v>
      </c>
      <c r="K47" s="5" t="s">
        <v>168</v>
      </c>
      <c r="L47" s="7">
        <v>9078.68</v>
      </c>
      <c r="M47" s="7">
        <v>7317.73</v>
      </c>
      <c r="N47" s="7">
        <v>143.94999999999999</v>
      </c>
      <c r="O47" s="7">
        <v>0</v>
      </c>
      <c r="P47" s="5" t="s">
        <v>55</v>
      </c>
      <c r="Q47" s="5" t="s">
        <v>47</v>
      </c>
    </row>
    <row r="48" spans="1:17" x14ac:dyDescent="0.2">
      <c r="A48" s="2" t="s">
        <v>178</v>
      </c>
      <c r="B48" s="2" t="s">
        <v>122</v>
      </c>
      <c r="C48" s="3">
        <v>33</v>
      </c>
      <c r="D48" s="2" t="s">
        <v>39</v>
      </c>
      <c r="E48" s="2" t="s">
        <v>40</v>
      </c>
      <c r="F48" s="2" t="s">
        <v>41</v>
      </c>
      <c r="G48" s="2" t="s">
        <v>42</v>
      </c>
      <c r="H48" s="2" t="s">
        <v>34</v>
      </c>
      <c r="I48" s="2" t="s">
        <v>179</v>
      </c>
      <c r="J48" s="2" t="s">
        <v>144</v>
      </c>
      <c r="K48" s="2" t="s">
        <v>145</v>
      </c>
      <c r="L48" s="4">
        <v>4757.96</v>
      </c>
      <c r="M48" s="4">
        <v>3571.62</v>
      </c>
      <c r="N48" s="4">
        <v>123.76</v>
      </c>
      <c r="O48" s="4">
        <v>3447.86</v>
      </c>
      <c r="P48" s="2" t="s">
        <v>46</v>
      </c>
      <c r="Q48" s="2" t="s">
        <v>28</v>
      </c>
    </row>
    <row r="49" spans="1:17" x14ac:dyDescent="0.2">
      <c r="A49" s="5" t="s">
        <v>180</v>
      </c>
      <c r="B49" s="5" t="s">
        <v>66</v>
      </c>
      <c r="C49" s="6">
        <v>54</v>
      </c>
      <c r="D49" s="5" t="s">
        <v>19</v>
      </c>
      <c r="E49" s="5" t="s">
        <v>40</v>
      </c>
      <c r="F49" s="5" t="s">
        <v>41</v>
      </c>
      <c r="G49" s="5" t="s">
        <v>42</v>
      </c>
      <c r="H49" s="5" t="s">
        <v>34</v>
      </c>
      <c r="I49" s="5" t="s">
        <v>181</v>
      </c>
      <c r="J49" s="5" t="s">
        <v>25</v>
      </c>
      <c r="K49" s="5" t="s">
        <v>26</v>
      </c>
      <c r="L49" s="7">
        <v>10422.19</v>
      </c>
      <c r="M49" s="7">
        <v>6300.41</v>
      </c>
      <c r="N49" s="7">
        <v>53.82</v>
      </c>
      <c r="O49" s="7">
        <v>6246.59</v>
      </c>
      <c r="P49" s="5" t="s">
        <v>46</v>
      </c>
      <c r="Q49" s="5" t="s">
        <v>47</v>
      </c>
    </row>
    <row r="50" spans="1:17" x14ac:dyDescent="0.2">
      <c r="A50" s="2" t="s">
        <v>182</v>
      </c>
      <c r="B50" s="2" t="s">
        <v>183</v>
      </c>
      <c r="C50" s="3">
        <v>39</v>
      </c>
      <c r="D50" s="2" t="s">
        <v>39</v>
      </c>
      <c r="E50" s="2" t="s">
        <v>31</v>
      </c>
      <c r="F50" s="2" t="s">
        <v>41</v>
      </c>
      <c r="G50" s="2" t="s">
        <v>42</v>
      </c>
      <c r="H50" s="2" t="s">
        <v>34</v>
      </c>
      <c r="I50" s="2" t="s">
        <v>184</v>
      </c>
      <c r="J50" s="2" t="s">
        <v>87</v>
      </c>
      <c r="K50" s="2" t="s">
        <v>88</v>
      </c>
      <c r="L50" s="4">
        <v>10043.69</v>
      </c>
      <c r="M50" s="4">
        <v>6941.11</v>
      </c>
      <c r="N50" s="4">
        <v>117.37</v>
      </c>
      <c r="O50" s="4">
        <v>6823.74</v>
      </c>
      <c r="P50" s="2" t="s">
        <v>46</v>
      </c>
      <c r="Q50" s="2" t="s">
        <v>28</v>
      </c>
    </row>
    <row r="51" spans="1:17" x14ac:dyDescent="0.2">
      <c r="A51" s="5" t="s">
        <v>185</v>
      </c>
      <c r="B51" s="5" t="s">
        <v>186</v>
      </c>
      <c r="C51" s="6">
        <v>38</v>
      </c>
      <c r="D51" s="5" t="s">
        <v>19</v>
      </c>
      <c r="E51" s="5" t="s">
        <v>31</v>
      </c>
      <c r="F51" s="5" t="s">
        <v>32</v>
      </c>
      <c r="G51" s="5" t="s">
        <v>33</v>
      </c>
      <c r="H51" s="5" t="s">
        <v>34</v>
      </c>
      <c r="I51" s="5" t="s">
        <v>187</v>
      </c>
      <c r="J51" s="5" t="s">
        <v>36</v>
      </c>
      <c r="K51" s="5" t="s">
        <v>37</v>
      </c>
      <c r="L51" s="7">
        <v>7512.83</v>
      </c>
      <c r="M51" s="7">
        <v>4669.7</v>
      </c>
      <c r="N51" s="7">
        <v>81.56</v>
      </c>
      <c r="O51" s="7">
        <v>4588.1400000000003</v>
      </c>
      <c r="P51" s="5" t="s">
        <v>46</v>
      </c>
      <c r="Q51" s="5" t="s">
        <v>47</v>
      </c>
    </row>
    <row r="52" spans="1:17" x14ac:dyDescent="0.2">
      <c r="A52" s="2" t="s">
        <v>188</v>
      </c>
      <c r="B52" s="2" t="s">
        <v>189</v>
      </c>
      <c r="C52" s="3">
        <v>31</v>
      </c>
      <c r="D52" s="2" t="s">
        <v>39</v>
      </c>
      <c r="E52" s="2" t="s">
        <v>40</v>
      </c>
      <c r="F52" s="2" t="s">
        <v>99</v>
      </c>
      <c r="G52" s="2" t="s">
        <v>100</v>
      </c>
      <c r="H52" s="2" t="s">
        <v>34</v>
      </c>
      <c r="I52" s="2" t="s">
        <v>190</v>
      </c>
      <c r="J52" s="2" t="s">
        <v>44</v>
      </c>
      <c r="K52" s="2" t="s">
        <v>45</v>
      </c>
      <c r="L52" s="4">
        <v>11570.26</v>
      </c>
      <c r="M52" s="4">
        <v>8857.1200000000008</v>
      </c>
      <c r="N52" s="4">
        <v>121.11</v>
      </c>
      <c r="O52" s="4">
        <v>8736.01</v>
      </c>
      <c r="P52" s="2" t="s">
        <v>46</v>
      </c>
      <c r="Q52" s="2" t="s">
        <v>47</v>
      </c>
    </row>
    <row r="53" spans="1:17" x14ac:dyDescent="0.2">
      <c r="A53" s="5" t="s">
        <v>191</v>
      </c>
      <c r="B53" s="5" t="s">
        <v>63</v>
      </c>
      <c r="C53" s="6">
        <v>63</v>
      </c>
      <c r="D53" s="5" t="s">
        <v>39</v>
      </c>
      <c r="E53" s="5" t="s">
        <v>31</v>
      </c>
      <c r="F53" s="5" t="s">
        <v>32</v>
      </c>
      <c r="G53" s="5" t="s">
        <v>33</v>
      </c>
      <c r="H53" s="5" t="s">
        <v>34</v>
      </c>
      <c r="I53" s="5" t="s">
        <v>192</v>
      </c>
      <c r="J53" s="5" t="s">
        <v>144</v>
      </c>
      <c r="K53" s="5" t="s">
        <v>145</v>
      </c>
      <c r="L53" s="7">
        <v>7166.36</v>
      </c>
      <c r="M53" s="7">
        <v>5727.15</v>
      </c>
      <c r="N53" s="7">
        <v>51.57</v>
      </c>
      <c r="O53" s="7">
        <v>5675.58</v>
      </c>
      <c r="P53" s="5" t="s">
        <v>46</v>
      </c>
      <c r="Q53" s="5" t="s">
        <v>28</v>
      </c>
    </row>
    <row r="54" spans="1:17" x14ac:dyDescent="0.2">
      <c r="A54" s="2" t="s">
        <v>193</v>
      </c>
      <c r="B54" s="2" t="s">
        <v>30</v>
      </c>
      <c r="C54" s="3">
        <v>56</v>
      </c>
      <c r="D54" s="2" t="s">
        <v>39</v>
      </c>
      <c r="E54" s="2" t="s">
        <v>40</v>
      </c>
      <c r="F54" s="2" t="s">
        <v>99</v>
      </c>
      <c r="G54" s="2" t="s">
        <v>100</v>
      </c>
      <c r="H54" s="2" t="s">
        <v>34</v>
      </c>
      <c r="I54" s="2" t="s">
        <v>194</v>
      </c>
      <c r="J54" s="2" t="s">
        <v>68</v>
      </c>
      <c r="K54" s="2" t="s">
        <v>69</v>
      </c>
      <c r="L54" s="4">
        <v>7989.03</v>
      </c>
      <c r="M54" s="4">
        <v>4559.24</v>
      </c>
      <c r="N54" s="4">
        <v>104.18</v>
      </c>
      <c r="O54" s="4">
        <v>4455.0600000000004</v>
      </c>
      <c r="P54" s="2" t="s">
        <v>46</v>
      </c>
      <c r="Q54" s="2" t="s">
        <v>47</v>
      </c>
    </row>
    <row r="55" spans="1:17" x14ac:dyDescent="0.2">
      <c r="A55" s="5" t="s">
        <v>195</v>
      </c>
      <c r="B55" s="5" t="s">
        <v>161</v>
      </c>
      <c r="C55" s="6">
        <v>55</v>
      </c>
      <c r="D55" s="5" t="s">
        <v>19</v>
      </c>
      <c r="E55" s="5" t="s">
        <v>40</v>
      </c>
      <c r="F55" s="5" t="s">
        <v>41</v>
      </c>
      <c r="G55" s="5" t="s">
        <v>42</v>
      </c>
      <c r="H55" s="5" t="s">
        <v>34</v>
      </c>
      <c r="I55" s="5" t="s">
        <v>196</v>
      </c>
      <c r="J55" s="5" t="s">
        <v>44</v>
      </c>
      <c r="K55" s="5" t="s">
        <v>45</v>
      </c>
      <c r="L55" s="7">
        <v>8845.4699999999993</v>
      </c>
      <c r="M55" s="7">
        <v>7427.03</v>
      </c>
      <c r="N55" s="7">
        <v>55.11</v>
      </c>
      <c r="O55" s="7">
        <v>7371.92</v>
      </c>
      <c r="P55" s="5" t="s">
        <v>27</v>
      </c>
      <c r="Q55" s="5" t="s">
        <v>47</v>
      </c>
    </row>
    <row r="56" spans="1:17" x14ac:dyDescent="0.2">
      <c r="A56" s="2" t="s">
        <v>197</v>
      </c>
      <c r="B56" s="2" t="s">
        <v>119</v>
      </c>
      <c r="C56" s="3">
        <v>67</v>
      </c>
      <c r="D56" s="2" t="s">
        <v>19</v>
      </c>
      <c r="E56" s="2" t="s">
        <v>40</v>
      </c>
      <c r="F56" s="2" t="s">
        <v>32</v>
      </c>
      <c r="G56" s="2" t="s">
        <v>33</v>
      </c>
      <c r="H56" s="2" t="s">
        <v>34</v>
      </c>
      <c r="I56" s="2" t="s">
        <v>198</v>
      </c>
      <c r="J56" s="2" t="s">
        <v>68</v>
      </c>
      <c r="K56" s="2" t="s">
        <v>69</v>
      </c>
      <c r="L56" s="4">
        <v>3455.3</v>
      </c>
      <c r="M56" s="4">
        <v>2367.71</v>
      </c>
      <c r="N56" s="4">
        <v>117.56</v>
      </c>
      <c r="O56" s="4">
        <v>2250.15</v>
      </c>
      <c r="P56" s="2" t="s">
        <v>27</v>
      </c>
      <c r="Q56" s="2" t="s">
        <v>47</v>
      </c>
    </row>
    <row r="57" spans="1:17" x14ac:dyDescent="0.2">
      <c r="A57" s="5" t="s">
        <v>199</v>
      </c>
      <c r="B57" s="5" t="s">
        <v>200</v>
      </c>
      <c r="C57" s="6">
        <v>42</v>
      </c>
      <c r="D57" s="5" t="s">
        <v>39</v>
      </c>
      <c r="E57" s="5" t="s">
        <v>31</v>
      </c>
      <c r="F57" s="5" t="s">
        <v>32</v>
      </c>
      <c r="G57" s="5" t="s">
        <v>33</v>
      </c>
      <c r="H57" s="5" t="s">
        <v>34</v>
      </c>
      <c r="I57" s="5" t="s">
        <v>143</v>
      </c>
      <c r="J57" s="5" t="s">
        <v>68</v>
      </c>
      <c r="K57" s="5" t="s">
        <v>69</v>
      </c>
      <c r="L57" s="7">
        <v>2663.62</v>
      </c>
      <c r="M57" s="7">
        <v>2102.5300000000002</v>
      </c>
      <c r="N57" s="7">
        <v>64.239999999999995</v>
      </c>
      <c r="O57" s="7">
        <v>2038.29</v>
      </c>
      <c r="P57" s="5" t="s">
        <v>27</v>
      </c>
      <c r="Q57" s="5" t="s">
        <v>28</v>
      </c>
    </row>
    <row r="58" spans="1:17" x14ac:dyDescent="0.2">
      <c r="A58" s="2" t="s">
        <v>201</v>
      </c>
      <c r="B58" s="2" t="s">
        <v>202</v>
      </c>
      <c r="C58" s="3">
        <v>75</v>
      </c>
      <c r="D58" s="2" t="s">
        <v>39</v>
      </c>
      <c r="E58" s="2" t="s">
        <v>20</v>
      </c>
      <c r="F58" s="2" t="s">
        <v>41</v>
      </c>
      <c r="G58" s="2" t="s">
        <v>42</v>
      </c>
      <c r="H58" s="2" t="s">
        <v>34</v>
      </c>
      <c r="I58" s="2" t="s">
        <v>203</v>
      </c>
      <c r="J58" s="2" t="s">
        <v>36</v>
      </c>
      <c r="K58" s="2" t="s">
        <v>37</v>
      </c>
      <c r="L58" s="4">
        <v>6728.84</v>
      </c>
      <c r="M58" s="4">
        <v>4185.99</v>
      </c>
      <c r="N58" s="4">
        <v>81.89</v>
      </c>
      <c r="O58" s="4">
        <v>0</v>
      </c>
      <c r="P58" s="2" t="s">
        <v>55</v>
      </c>
      <c r="Q58" s="2" t="s">
        <v>28</v>
      </c>
    </row>
    <row r="59" spans="1:17" x14ac:dyDescent="0.2">
      <c r="A59" s="5" t="s">
        <v>204</v>
      </c>
      <c r="B59" s="5" t="s">
        <v>71</v>
      </c>
      <c r="C59" s="6">
        <v>72</v>
      </c>
      <c r="D59" s="5" t="s">
        <v>19</v>
      </c>
      <c r="E59" s="5" t="s">
        <v>40</v>
      </c>
      <c r="F59" s="5" t="s">
        <v>32</v>
      </c>
      <c r="G59" s="5" t="s">
        <v>33</v>
      </c>
      <c r="H59" s="5" t="s">
        <v>34</v>
      </c>
      <c r="I59" s="5" t="s">
        <v>205</v>
      </c>
      <c r="J59" s="5" t="s">
        <v>144</v>
      </c>
      <c r="K59" s="5" t="s">
        <v>145</v>
      </c>
      <c r="L59" s="7">
        <v>8017.93</v>
      </c>
      <c r="M59" s="7">
        <v>5297.5</v>
      </c>
      <c r="N59" s="7">
        <v>91.95</v>
      </c>
      <c r="O59" s="7">
        <v>5205.55</v>
      </c>
      <c r="P59" s="5" t="s">
        <v>46</v>
      </c>
      <c r="Q59" s="5" t="s">
        <v>47</v>
      </c>
    </row>
    <row r="60" spans="1:17" x14ac:dyDescent="0.2">
      <c r="A60" s="2" t="s">
        <v>206</v>
      </c>
      <c r="B60" s="2" t="s">
        <v>78</v>
      </c>
      <c r="C60" s="3">
        <v>69</v>
      </c>
      <c r="D60" s="2" t="s">
        <v>39</v>
      </c>
      <c r="E60" s="2" t="s">
        <v>20</v>
      </c>
      <c r="F60" s="2" t="s">
        <v>49</v>
      </c>
      <c r="G60" s="2" t="s">
        <v>50</v>
      </c>
      <c r="H60" s="2" t="s">
        <v>51</v>
      </c>
      <c r="I60" s="2" t="s">
        <v>207</v>
      </c>
      <c r="J60" s="2" t="s">
        <v>87</v>
      </c>
      <c r="K60" s="2" t="s">
        <v>88</v>
      </c>
      <c r="L60" s="4">
        <v>2881.88</v>
      </c>
      <c r="M60" s="4">
        <v>2208.63</v>
      </c>
      <c r="N60" s="4">
        <v>61.02</v>
      </c>
      <c r="O60" s="4">
        <v>2147.61</v>
      </c>
      <c r="P60" s="2" t="s">
        <v>27</v>
      </c>
      <c r="Q60" s="2" t="s">
        <v>47</v>
      </c>
    </row>
    <row r="61" spans="1:17" x14ac:dyDescent="0.2">
      <c r="A61" s="5" t="s">
        <v>208</v>
      </c>
      <c r="B61" s="5" t="s">
        <v>57</v>
      </c>
      <c r="C61" s="6">
        <v>48</v>
      </c>
      <c r="D61" s="5" t="s">
        <v>39</v>
      </c>
      <c r="E61" s="5" t="s">
        <v>40</v>
      </c>
      <c r="F61" s="5" t="s">
        <v>99</v>
      </c>
      <c r="G61" s="5" t="s">
        <v>100</v>
      </c>
      <c r="H61" s="5" t="s">
        <v>34</v>
      </c>
      <c r="I61" s="5" t="s">
        <v>209</v>
      </c>
      <c r="J61" s="5" t="s">
        <v>87</v>
      </c>
      <c r="K61" s="5" t="s">
        <v>88</v>
      </c>
      <c r="L61" s="7">
        <v>7221.97</v>
      </c>
      <c r="M61" s="7">
        <v>6096.45</v>
      </c>
      <c r="N61" s="7">
        <v>128.24</v>
      </c>
      <c r="O61" s="7">
        <v>5968.21</v>
      </c>
      <c r="P61" s="5" t="s">
        <v>46</v>
      </c>
      <c r="Q61" s="5" t="s">
        <v>28</v>
      </c>
    </row>
    <row r="62" spans="1:17" x14ac:dyDescent="0.2">
      <c r="A62" s="2" t="s">
        <v>210</v>
      </c>
      <c r="B62" s="2" t="s">
        <v>98</v>
      </c>
      <c r="C62" s="3">
        <v>25</v>
      </c>
      <c r="D62" s="2" t="s">
        <v>19</v>
      </c>
      <c r="E62" s="2" t="s">
        <v>40</v>
      </c>
      <c r="F62" s="2" t="s">
        <v>21</v>
      </c>
      <c r="G62" s="2" t="s">
        <v>22</v>
      </c>
      <c r="H62" s="2" t="s">
        <v>23</v>
      </c>
      <c r="I62" s="2" t="s">
        <v>211</v>
      </c>
      <c r="J62" s="2" t="s">
        <v>87</v>
      </c>
      <c r="K62" s="2" t="s">
        <v>88</v>
      </c>
      <c r="L62" s="4">
        <v>6707.3</v>
      </c>
      <c r="M62" s="4">
        <v>5092.3500000000004</v>
      </c>
      <c r="N62" s="4">
        <v>36.42</v>
      </c>
      <c r="O62" s="4">
        <v>0</v>
      </c>
      <c r="P62" s="2" t="s">
        <v>55</v>
      </c>
      <c r="Q62" s="2" t="s">
        <v>47</v>
      </c>
    </row>
    <row r="63" spans="1:17" x14ac:dyDescent="0.2">
      <c r="A63" s="5" t="s">
        <v>212</v>
      </c>
      <c r="B63" s="5" t="s">
        <v>213</v>
      </c>
      <c r="C63" s="6">
        <v>56</v>
      </c>
      <c r="D63" s="5" t="s">
        <v>39</v>
      </c>
      <c r="E63" s="5" t="s">
        <v>31</v>
      </c>
      <c r="F63" s="5" t="s">
        <v>32</v>
      </c>
      <c r="G63" s="5" t="s">
        <v>33</v>
      </c>
      <c r="H63" s="5" t="s">
        <v>34</v>
      </c>
      <c r="I63" s="5" t="s">
        <v>214</v>
      </c>
      <c r="J63" s="5" t="s">
        <v>68</v>
      </c>
      <c r="K63" s="5" t="s">
        <v>69</v>
      </c>
      <c r="L63" s="7">
        <v>3141.87</v>
      </c>
      <c r="M63" s="7">
        <v>2540.25</v>
      </c>
      <c r="N63" s="7">
        <v>34.83</v>
      </c>
      <c r="O63" s="7">
        <v>2505.42</v>
      </c>
      <c r="P63" s="5" t="s">
        <v>46</v>
      </c>
      <c r="Q63" s="5" t="s">
        <v>28</v>
      </c>
    </row>
    <row r="64" spans="1:17" x14ac:dyDescent="0.2">
      <c r="A64" s="2" t="s">
        <v>215</v>
      </c>
      <c r="B64" s="2" t="s">
        <v>78</v>
      </c>
      <c r="C64" s="3">
        <v>51</v>
      </c>
      <c r="D64" s="2" t="s">
        <v>39</v>
      </c>
      <c r="E64" s="2" t="s">
        <v>31</v>
      </c>
      <c r="F64" s="2" t="s">
        <v>32</v>
      </c>
      <c r="G64" s="2" t="s">
        <v>33</v>
      </c>
      <c r="H64" s="2" t="s">
        <v>34</v>
      </c>
      <c r="I64" s="2" t="s">
        <v>216</v>
      </c>
      <c r="J64" s="2" t="s">
        <v>44</v>
      </c>
      <c r="K64" s="2" t="s">
        <v>45</v>
      </c>
      <c r="L64" s="4">
        <v>11397.14</v>
      </c>
      <c r="M64" s="4">
        <v>6559.67</v>
      </c>
      <c r="N64" s="4">
        <v>52.26</v>
      </c>
      <c r="O64" s="4">
        <v>6507.41</v>
      </c>
      <c r="P64" s="2" t="s">
        <v>27</v>
      </c>
      <c r="Q64" s="2" t="s">
        <v>47</v>
      </c>
    </row>
    <row r="65" spans="1:17" x14ac:dyDescent="0.2">
      <c r="A65" s="5" t="s">
        <v>217</v>
      </c>
      <c r="B65" s="5" t="s">
        <v>133</v>
      </c>
      <c r="C65" s="6">
        <v>31</v>
      </c>
      <c r="D65" s="5" t="s">
        <v>39</v>
      </c>
      <c r="E65" s="5" t="s">
        <v>31</v>
      </c>
      <c r="F65" s="5" t="s">
        <v>49</v>
      </c>
      <c r="G65" s="5" t="s">
        <v>50</v>
      </c>
      <c r="H65" s="5" t="s">
        <v>51</v>
      </c>
      <c r="I65" s="5" t="s">
        <v>218</v>
      </c>
      <c r="J65" s="5" t="s">
        <v>104</v>
      </c>
      <c r="K65" s="5" t="s">
        <v>105</v>
      </c>
      <c r="L65" s="7">
        <v>11881.87</v>
      </c>
      <c r="M65" s="7">
        <v>7623.58</v>
      </c>
      <c r="N65" s="7">
        <v>100.73</v>
      </c>
      <c r="O65" s="7">
        <v>7522.85</v>
      </c>
      <c r="P65" s="5" t="s">
        <v>27</v>
      </c>
      <c r="Q65" s="5" t="s">
        <v>47</v>
      </c>
    </row>
    <row r="66" spans="1:17" x14ac:dyDescent="0.2">
      <c r="A66" s="2" t="s">
        <v>219</v>
      </c>
      <c r="B66" s="2" t="s">
        <v>200</v>
      </c>
      <c r="C66" s="3">
        <v>63</v>
      </c>
      <c r="D66" s="2" t="s">
        <v>19</v>
      </c>
      <c r="E66" s="2" t="s">
        <v>40</v>
      </c>
      <c r="F66" s="2" t="s">
        <v>32</v>
      </c>
      <c r="G66" s="2" t="s">
        <v>33</v>
      </c>
      <c r="H66" s="2" t="s">
        <v>34</v>
      </c>
      <c r="I66" s="2" t="s">
        <v>220</v>
      </c>
      <c r="J66" s="2" t="s">
        <v>25</v>
      </c>
      <c r="K66" s="2" t="s">
        <v>26</v>
      </c>
      <c r="L66" s="4">
        <v>2209.69</v>
      </c>
      <c r="M66" s="4">
        <v>1265.0899999999999</v>
      </c>
      <c r="N66" s="4">
        <v>20.350000000000001</v>
      </c>
      <c r="O66" s="4">
        <v>0</v>
      </c>
      <c r="P66" s="2" t="s">
        <v>55</v>
      </c>
      <c r="Q66" s="2" t="s">
        <v>28</v>
      </c>
    </row>
    <row r="67" spans="1:17" x14ac:dyDescent="0.2">
      <c r="A67" s="5" t="s">
        <v>221</v>
      </c>
      <c r="B67" s="5" t="s">
        <v>170</v>
      </c>
      <c r="C67" s="6">
        <v>62</v>
      </c>
      <c r="D67" s="5" t="s">
        <v>39</v>
      </c>
      <c r="E67" s="5" t="s">
        <v>40</v>
      </c>
      <c r="F67" s="5" t="s">
        <v>49</v>
      </c>
      <c r="G67" s="5" t="s">
        <v>50</v>
      </c>
      <c r="H67" s="5" t="s">
        <v>51</v>
      </c>
      <c r="I67" s="5" t="s">
        <v>222</v>
      </c>
      <c r="J67" s="5" t="s">
        <v>87</v>
      </c>
      <c r="K67" s="5" t="s">
        <v>88</v>
      </c>
      <c r="L67" s="7">
        <v>10336.34</v>
      </c>
      <c r="M67" s="7">
        <v>5905.71</v>
      </c>
      <c r="N67" s="7">
        <v>50.35</v>
      </c>
      <c r="O67" s="7">
        <v>5855.36</v>
      </c>
      <c r="P67" s="5" t="s">
        <v>46</v>
      </c>
      <c r="Q67" s="5" t="s">
        <v>28</v>
      </c>
    </row>
    <row r="68" spans="1:17" x14ac:dyDescent="0.2">
      <c r="A68" s="2" t="s">
        <v>223</v>
      </c>
      <c r="B68" s="2" t="s">
        <v>158</v>
      </c>
      <c r="C68" s="3">
        <v>53</v>
      </c>
      <c r="D68" s="2" t="s">
        <v>39</v>
      </c>
      <c r="E68" s="2" t="s">
        <v>40</v>
      </c>
      <c r="F68" s="2" t="s">
        <v>49</v>
      </c>
      <c r="G68" s="2" t="s">
        <v>50</v>
      </c>
      <c r="H68" s="2" t="s">
        <v>51</v>
      </c>
      <c r="I68" s="2" t="s">
        <v>224</v>
      </c>
      <c r="J68" s="2" t="s">
        <v>44</v>
      </c>
      <c r="K68" s="2" t="s">
        <v>45</v>
      </c>
      <c r="L68" s="4">
        <v>996.21</v>
      </c>
      <c r="M68" s="4">
        <v>597.5</v>
      </c>
      <c r="N68" s="4">
        <v>59.99</v>
      </c>
      <c r="O68" s="4">
        <v>537.51</v>
      </c>
      <c r="P68" s="2" t="s">
        <v>27</v>
      </c>
      <c r="Q68" s="2" t="s">
        <v>47</v>
      </c>
    </row>
    <row r="69" spans="1:17" x14ac:dyDescent="0.2">
      <c r="A69" s="5" t="s">
        <v>225</v>
      </c>
      <c r="B69" s="5" t="s">
        <v>133</v>
      </c>
      <c r="C69" s="6">
        <v>45</v>
      </c>
      <c r="D69" s="5" t="s">
        <v>19</v>
      </c>
      <c r="E69" s="5" t="s">
        <v>20</v>
      </c>
      <c r="F69" s="5" t="s">
        <v>49</v>
      </c>
      <c r="G69" s="5" t="s">
        <v>50</v>
      </c>
      <c r="H69" s="5" t="s">
        <v>51</v>
      </c>
      <c r="I69" s="5" t="s">
        <v>226</v>
      </c>
      <c r="J69" s="5" t="s">
        <v>144</v>
      </c>
      <c r="K69" s="5" t="s">
        <v>145</v>
      </c>
      <c r="L69" s="7">
        <v>6548.78</v>
      </c>
      <c r="M69" s="7">
        <v>4461.8599999999997</v>
      </c>
      <c r="N69" s="7">
        <v>97.74</v>
      </c>
      <c r="O69" s="7">
        <v>0</v>
      </c>
      <c r="P69" s="5" t="s">
        <v>55</v>
      </c>
      <c r="Q69" s="5" t="s">
        <v>28</v>
      </c>
    </row>
    <row r="70" spans="1:17" x14ac:dyDescent="0.2">
      <c r="A70" s="2" t="s">
        <v>227</v>
      </c>
      <c r="B70" s="2" t="s">
        <v>78</v>
      </c>
      <c r="C70" s="3">
        <v>73</v>
      </c>
      <c r="D70" s="2" t="s">
        <v>39</v>
      </c>
      <c r="E70" s="2" t="s">
        <v>40</v>
      </c>
      <c r="F70" s="2" t="s">
        <v>99</v>
      </c>
      <c r="G70" s="2" t="s">
        <v>100</v>
      </c>
      <c r="H70" s="2" t="s">
        <v>34</v>
      </c>
      <c r="I70" s="2" t="s">
        <v>228</v>
      </c>
      <c r="J70" s="2" t="s">
        <v>53</v>
      </c>
      <c r="K70" s="2" t="s">
        <v>54</v>
      </c>
      <c r="L70" s="4">
        <v>11994.93</v>
      </c>
      <c r="M70" s="4">
        <v>9016.4</v>
      </c>
      <c r="N70" s="4">
        <v>55.04</v>
      </c>
      <c r="O70" s="4">
        <v>8961.36</v>
      </c>
      <c r="P70" s="2" t="s">
        <v>46</v>
      </c>
      <c r="Q70" s="2" t="s">
        <v>47</v>
      </c>
    </row>
    <row r="71" spans="1:17" x14ac:dyDescent="0.2">
      <c r="A71" s="5" t="s">
        <v>229</v>
      </c>
      <c r="B71" s="5" t="s">
        <v>183</v>
      </c>
      <c r="C71" s="6">
        <v>51</v>
      </c>
      <c r="D71" s="5" t="s">
        <v>19</v>
      </c>
      <c r="E71" s="5" t="s">
        <v>40</v>
      </c>
      <c r="F71" s="5" t="s">
        <v>32</v>
      </c>
      <c r="G71" s="5" t="s">
        <v>33</v>
      </c>
      <c r="H71" s="5" t="s">
        <v>34</v>
      </c>
      <c r="I71" s="5" t="s">
        <v>230</v>
      </c>
      <c r="J71" s="5" t="s">
        <v>87</v>
      </c>
      <c r="K71" s="5" t="s">
        <v>88</v>
      </c>
      <c r="L71" s="7">
        <v>5315.24</v>
      </c>
      <c r="M71" s="7">
        <v>4221.75</v>
      </c>
      <c r="N71" s="7">
        <v>145.97999999999999</v>
      </c>
      <c r="O71" s="7">
        <v>0</v>
      </c>
      <c r="P71" s="5" t="s">
        <v>55</v>
      </c>
      <c r="Q71" s="5" t="s">
        <v>28</v>
      </c>
    </row>
    <row r="72" spans="1:17" x14ac:dyDescent="0.2">
      <c r="A72" s="2" t="s">
        <v>231</v>
      </c>
      <c r="B72" s="2" t="s">
        <v>232</v>
      </c>
      <c r="C72" s="3">
        <v>54</v>
      </c>
      <c r="D72" s="2" t="s">
        <v>39</v>
      </c>
      <c r="E72" s="2" t="s">
        <v>40</v>
      </c>
      <c r="F72" s="2" t="s">
        <v>49</v>
      </c>
      <c r="G72" s="2" t="s">
        <v>50</v>
      </c>
      <c r="H72" s="2" t="s">
        <v>51</v>
      </c>
      <c r="I72" s="2" t="s">
        <v>233</v>
      </c>
      <c r="J72" s="2" t="s">
        <v>44</v>
      </c>
      <c r="K72" s="2" t="s">
        <v>45</v>
      </c>
      <c r="L72" s="4">
        <v>8370.0300000000007</v>
      </c>
      <c r="M72" s="4">
        <v>5327.23</v>
      </c>
      <c r="N72" s="4">
        <v>142.88</v>
      </c>
      <c r="O72" s="4">
        <v>5184.3500000000004</v>
      </c>
      <c r="P72" s="2" t="s">
        <v>27</v>
      </c>
      <c r="Q72" s="2" t="s">
        <v>47</v>
      </c>
    </row>
    <row r="73" spans="1:17" x14ac:dyDescent="0.2">
      <c r="A73" s="5" t="s">
        <v>234</v>
      </c>
      <c r="B73" s="5" t="s">
        <v>30</v>
      </c>
      <c r="C73" s="6">
        <v>28</v>
      </c>
      <c r="D73" s="5" t="s">
        <v>39</v>
      </c>
      <c r="E73" s="5" t="s">
        <v>31</v>
      </c>
      <c r="F73" s="5" t="s">
        <v>41</v>
      </c>
      <c r="G73" s="5" t="s">
        <v>42</v>
      </c>
      <c r="H73" s="5" t="s">
        <v>34</v>
      </c>
      <c r="I73" s="5" t="s">
        <v>235</v>
      </c>
      <c r="J73" s="5" t="s">
        <v>25</v>
      </c>
      <c r="K73" s="5" t="s">
        <v>26</v>
      </c>
      <c r="L73" s="7">
        <v>9925.39</v>
      </c>
      <c r="M73" s="7">
        <v>5462.39</v>
      </c>
      <c r="N73" s="7">
        <v>133.02000000000001</v>
      </c>
      <c r="O73" s="7">
        <v>0</v>
      </c>
      <c r="P73" s="5" t="s">
        <v>55</v>
      </c>
      <c r="Q73" s="5" t="s">
        <v>47</v>
      </c>
    </row>
    <row r="74" spans="1:17" x14ac:dyDescent="0.2">
      <c r="A74" s="2" t="s">
        <v>236</v>
      </c>
      <c r="B74" s="2" t="s">
        <v>237</v>
      </c>
      <c r="C74" s="3">
        <v>26</v>
      </c>
      <c r="D74" s="2" t="s">
        <v>39</v>
      </c>
      <c r="E74" s="2" t="s">
        <v>31</v>
      </c>
      <c r="F74" s="2" t="s">
        <v>21</v>
      </c>
      <c r="G74" s="2" t="s">
        <v>22</v>
      </c>
      <c r="H74" s="2" t="s">
        <v>23</v>
      </c>
      <c r="I74" s="2" t="s">
        <v>238</v>
      </c>
      <c r="J74" s="2" t="s">
        <v>104</v>
      </c>
      <c r="K74" s="2" t="s">
        <v>105</v>
      </c>
      <c r="L74" s="4">
        <v>3314.62</v>
      </c>
      <c r="M74" s="4">
        <v>1953.32</v>
      </c>
      <c r="N74" s="4">
        <v>57.44</v>
      </c>
      <c r="O74" s="4">
        <v>0</v>
      </c>
      <c r="P74" s="2" t="s">
        <v>55</v>
      </c>
      <c r="Q74" s="2" t="s">
        <v>47</v>
      </c>
    </row>
    <row r="75" spans="1:17" x14ac:dyDescent="0.2">
      <c r="A75" s="5" t="s">
        <v>239</v>
      </c>
      <c r="B75" s="5" t="s">
        <v>122</v>
      </c>
      <c r="C75" s="6">
        <v>32</v>
      </c>
      <c r="D75" s="5" t="s">
        <v>39</v>
      </c>
      <c r="E75" s="5" t="s">
        <v>40</v>
      </c>
      <c r="F75" s="5" t="s">
        <v>21</v>
      </c>
      <c r="G75" s="5" t="s">
        <v>22</v>
      </c>
      <c r="H75" s="5" t="s">
        <v>23</v>
      </c>
      <c r="I75" s="5" t="s">
        <v>240</v>
      </c>
      <c r="J75" s="5" t="s">
        <v>75</v>
      </c>
      <c r="K75" s="5" t="s">
        <v>76</v>
      </c>
      <c r="L75" s="7">
        <v>4984.6899999999996</v>
      </c>
      <c r="M75" s="7">
        <v>3077.6</v>
      </c>
      <c r="N75" s="7">
        <v>129.38</v>
      </c>
      <c r="O75" s="7">
        <v>2948.22</v>
      </c>
      <c r="P75" s="5" t="s">
        <v>46</v>
      </c>
      <c r="Q75" s="5" t="s">
        <v>47</v>
      </c>
    </row>
    <row r="76" spans="1:17" x14ac:dyDescent="0.2">
      <c r="A76" s="2" t="s">
        <v>241</v>
      </c>
      <c r="B76" s="2" t="s">
        <v>113</v>
      </c>
      <c r="C76" s="3">
        <v>49</v>
      </c>
      <c r="D76" s="2" t="s">
        <v>39</v>
      </c>
      <c r="E76" s="2" t="s">
        <v>31</v>
      </c>
      <c r="F76" s="2" t="s">
        <v>49</v>
      </c>
      <c r="G76" s="2" t="s">
        <v>50</v>
      </c>
      <c r="H76" s="2" t="s">
        <v>51</v>
      </c>
      <c r="I76" s="2" t="s">
        <v>242</v>
      </c>
      <c r="J76" s="2" t="s">
        <v>75</v>
      </c>
      <c r="K76" s="2" t="s">
        <v>76</v>
      </c>
      <c r="L76" s="4">
        <v>10041.48</v>
      </c>
      <c r="M76" s="4">
        <v>8475.75</v>
      </c>
      <c r="N76" s="4">
        <v>51.69</v>
      </c>
      <c r="O76" s="4">
        <v>8424.06</v>
      </c>
      <c r="P76" s="2" t="s">
        <v>27</v>
      </c>
      <c r="Q76" s="2" t="s">
        <v>28</v>
      </c>
    </row>
    <row r="77" spans="1:17" x14ac:dyDescent="0.2">
      <c r="A77" s="5" t="s">
        <v>243</v>
      </c>
      <c r="B77" s="5" t="s">
        <v>158</v>
      </c>
      <c r="C77" s="6">
        <v>71</v>
      </c>
      <c r="D77" s="5" t="s">
        <v>19</v>
      </c>
      <c r="E77" s="5" t="s">
        <v>31</v>
      </c>
      <c r="F77" s="5" t="s">
        <v>49</v>
      </c>
      <c r="G77" s="5" t="s">
        <v>50</v>
      </c>
      <c r="H77" s="5" t="s">
        <v>51</v>
      </c>
      <c r="I77" s="5" t="s">
        <v>244</v>
      </c>
      <c r="J77" s="5" t="s">
        <v>25</v>
      </c>
      <c r="K77" s="5" t="s">
        <v>26</v>
      </c>
      <c r="L77" s="7">
        <v>4177.5200000000004</v>
      </c>
      <c r="M77" s="7">
        <v>3284.85</v>
      </c>
      <c r="N77" s="7">
        <v>54.73</v>
      </c>
      <c r="O77" s="7">
        <v>3230.12</v>
      </c>
      <c r="P77" s="5" t="s">
        <v>46</v>
      </c>
      <c r="Q77" s="5" t="s">
        <v>47</v>
      </c>
    </row>
    <row r="78" spans="1:17" x14ac:dyDescent="0.2">
      <c r="A78" s="2" t="s">
        <v>245</v>
      </c>
      <c r="B78" s="2" t="s">
        <v>122</v>
      </c>
      <c r="C78" s="3">
        <v>45</v>
      </c>
      <c r="D78" s="2" t="s">
        <v>39</v>
      </c>
      <c r="E78" s="2" t="s">
        <v>31</v>
      </c>
      <c r="F78" s="2" t="s">
        <v>41</v>
      </c>
      <c r="G78" s="2" t="s">
        <v>42</v>
      </c>
      <c r="H78" s="2" t="s">
        <v>34</v>
      </c>
      <c r="I78" s="2" t="s">
        <v>93</v>
      </c>
      <c r="J78" s="2" t="s">
        <v>44</v>
      </c>
      <c r="K78" s="2" t="s">
        <v>45</v>
      </c>
      <c r="L78" s="4">
        <v>5889.45</v>
      </c>
      <c r="M78" s="4">
        <v>3826.56</v>
      </c>
      <c r="N78" s="4">
        <v>119.17</v>
      </c>
      <c r="O78" s="4">
        <v>0</v>
      </c>
      <c r="P78" s="2" t="s">
        <v>55</v>
      </c>
      <c r="Q78" s="2" t="s">
        <v>47</v>
      </c>
    </row>
    <row r="79" spans="1:17" x14ac:dyDescent="0.2">
      <c r="A79" s="5" t="s">
        <v>246</v>
      </c>
      <c r="B79" s="5" t="s">
        <v>247</v>
      </c>
      <c r="C79" s="6">
        <v>67</v>
      </c>
      <c r="D79" s="5" t="s">
        <v>39</v>
      </c>
      <c r="E79" s="5" t="s">
        <v>40</v>
      </c>
      <c r="F79" s="5" t="s">
        <v>41</v>
      </c>
      <c r="G79" s="5" t="s">
        <v>42</v>
      </c>
      <c r="H79" s="5" t="s">
        <v>34</v>
      </c>
      <c r="I79" s="5" t="s">
        <v>248</v>
      </c>
      <c r="J79" s="5" t="s">
        <v>36</v>
      </c>
      <c r="K79" s="5" t="s">
        <v>37</v>
      </c>
      <c r="L79" s="7">
        <v>3920.39</v>
      </c>
      <c r="M79" s="7">
        <v>2712.49</v>
      </c>
      <c r="N79" s="7">
        <v>138.75</v>
      </c>
      <c r="O79" s="7">
        <v>0</v>
      </c>
      <c r="P79" s="5" t="s">
        <v>55</v>
      </c>
      <c r="Q79" s="5" t="s">
        <v>28</v>
      </c>
    </row>
    <row r="80" spans="1:17" x14ac:dyDescent="0.2">
      <c r="A80" s="2" t="s">
        <v>249</v>
      </c>
      <c r="B80" s="2" t="s">
        <v>122</v>
      </c>
      <c r="C80" s="3">
        <v>25</v>
      </c>
      <c r="D80" s="2" t="s">
        <v>39</v>
      </c>
      <c r="E80" s="2" t="s">
        <v>40</v>
      </c>
      <c r="F80" s="2" t="s">
        <v>99</v>
      </c>
      <c r="G80" s="2" t="s">
        <v>100</v>
      </c>
      <c r="H80" s="2" t="s">
        <v>34</v>
      </c>
      <c r="I80" s="2" t="s">
        <v>43</v>
      </c>
      <c r="J80" s="2" t="s">
        <v>75</v>
      </c>
      <c r="K80" s="2" t="s">
        <v>76</v>
      </c>
      <c r="L80" s="4">
        <v>10455.950000000001</v>
      </c>
      <c r="M80" s="4">
        <v>8492.92</v>
      </c>
      <c r="N80" s="4">
        <v>77.239999999999995</v>
      </c>
      <c r="O80" s="4">
        <v>8415.68</v>
      </c>
      <c r="P80" s="2" t="s">
        <v>27</v>
      </c>
      <c r="Q80" s="2" t="s">
        <v>28</v>
      </c>
    </row>
    <row r="81" spans="1:17" x14ac:dyDescent="0.2">
      <c r="A81" s="5" t="s">
        <v>250</v>
      </c>
      <c r="B81" s="5" t="s">
        <v>63</v>
      </c>
      <c r="C81" s="6">
        <v>59</v>
      </c>
      <c r="D81" s="5" t="s">
        <v>19</v>
      </c>
      <c r="E81" s="5" t="s">
        <v>40</v>
      </c>
      <c r="F81" s="5" t="s">
        <v>41</v>
      </c>
      <c r="G81" s="5" t="s">
        <v>42</v>
      </c>
      <c r="H81" s="5" t="s">
        <v>34</v>
      </c>
      <c r="I81" s="5" t="s">
        <v>67</v>
      </c>
      <c r="J81" s="5" t="s">
        <v>25</v>
      </c>
      <c r="K81" s="5" t="s">
        <v>26</v>
      </c>
      <c r="L81" s="7">
        <v>4161.95</v>
      </c>
      <c r="M81" s="7">
        <v>3153.97</v>
      </c>
      <c r="N81" s="7">
        <v>104.48</v>
      </c>
      <c r="O81" s="7">
        <v>3049.49</v>
      </c>
      <c r="P81" s="5" t="s">
        <v>46</v>
      </c>
      <c r="Q81" s="5" t="s">
        <v>47</v>
      </c>
    </row>
    <row r="82" spans="1:17" x14ac:dyDescent="0.2">
      <c r="A82" s="2" t="s">
        <v>251</v>
      </c>
      <c r="B82" s="2" t="s">
        <v>133</v>
      </c>
      <c r="C82" s="3">
        <v>30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252</v>
      </c>
      <c r="J82" s="2" t="s">
        <v>75</v>
      </c>
      <c r="K82" s="2" t="s">
        <v>76</v>
      </c>
      <c r="L82" s="4">
        <v>960.79</v>
      </c>
      <c r="M82" s="4">
        <v>710.36</v>
      </c>
      <c r="N82" s="4">
        <v>139.72</v>
      </c>
      <c r="O82" s="4">
        <v>570.64</v>
      </c>
      <c r="P82" s="2" t="s">
        <v>46</v>
      </c>
      <c r="Q82" s="2" t="s">
        <v>28</v>
      </c>
    </row>
    <row r="83" spans="1:17" x14ac:dyDescent="0.2">
      <c r="A83" s="5" t="s">
        <v>253</v>
      </c>
      <c r="B83" s="5" t="s">
        <v>158</v>
      </c>
      <c r="C83" s="6">
        <v>47</v>
      </c>
      <c r="D83" s="5" t="s">
        <v>19</v>
      </c>
      <c r="E83" s="5" t="s">
        <v>40</v>
      </c>
      <c r="F83" s="5" t="s">
        <v>32</v>
      </c>
      <c r="G83" s="5" t="s">
        <v>33</v>
      </c>
      <c r="H83" s="5" t="s">
        <v>34</v>
      </c>
      <c r="I83" s="5" t="s">
        <v>254</v>
      </c>
      <c r="J83" s="5" t="s">
        <v>104</v>
      </c>
      <c r="K83" s="5" t="s">
        <v>105</v>
      </c>
      <c r="L83" s="7">
        <v>3698.67</v>
      </c>
      <c r="M83" s="7">
        <v>2066.39</v>
      </c>
      <c r="N83" s="7">
        <v>62.17</v>
      </c>
      <c r="O83" s="7">
        <v>2004.22</v>
      </c>
      <c r="P83" s="5" t="s">
        <v>46</v>
      </c>
      <c r="Q83" s="5" t="s">
        <v>28</v>
      </c>
    </row>
    <row r="84" spans="1:17" x14ac:dyDescent="0.2">
      <c r="A84" s="2" t="s">
        <v>255</v>
      </c>
      <c r="B84" s="2" t="s">
        <v>247</v>
      </c>
      <c r="C84" s="3">
        <v>64</v>
      </c>
      <c r="D84" s="2" t="s">
        <v>39</v>
      </c>
      <c r="E84" s="2" t="s">
        <v>40</v>
      </c>
      <c r="F84" s="2" t="s">
        <v>41</v>
      </c>
      <c r="G84" s="2" t="s">
        <v>42</v>
      </c>
      <c r="H84" s="2" t="s">
        <v>34</v>
      </c>
      <c r="I84" s="2" t="s">
        <v>190</v>
      </c>
      <c r="J84" s="2" t="s">
        <v>75</v>
      </c>
      <c r="K84" s="2" t="s">
        <v>76</v>
      </c>
      <c r="L84" s="4">
        <v>8229.33</v>
      </c>
      <c r="M84" s="4">
        <v>4970.66</v>
      </c>
      <c r="N84" s="4">
        <v>42.76</v>
      </c>
      <c r="O84" s="4">
        <v>4927.8999999999996</v>
      </c>
      <c r="P84" s="2" t="s">
        <v>27</v>
      </c>
      <c r="Q84" s="2" t="s">
        <v>28</v>
      </c>
    </row>
    <row r="85" spans="1:17" x14ac:dyDescent="0.2">
      <c r="A85" s="5" t="s">
        <v>256</v>
      </c>
      <c r="B85" s="5" t="s">
        <v>158</v>
      </c>
      <c r="C85" s="6">
        <v>68</v>
      </c>
      <c r="D85" s="5" t="s">
        <v>39</v>
      </c>
      <c r="E85" s="5" t="s">
        <v>20</v>
      </c>
      <c r="F85" s="5" t="s">
        <v>41</v>
      </c>
      <c r="G85" s="5" t="s">
        <v>42</v>
      </c>
      <c r="H85" s="5" t="s">
        <v>34</v>
      </c>
      <c r="I85" s="5" t="s">
        <v>123</v>
      </c>
      <c r="J85" s="5" t="s">
        <v>36</v>
      </c>
      <c r="K85" s="5" t="s">
        <v>37</v>
      </c>
      <c r="L85" s="7">
        <v>3159.63</v>
      </c>
      <c r="M85" s="7">
        <v>1979.82</v>
      </c>
      <c r="N85" s="7">
        <v>21.22</v>
      </c>
      <c r="O85" s="7">
        <v>0</v>
      </c>
      <c r="P85" s="5" t="s">
        <v>55</v>
      </c>
      <c r="Q85" s="5" t="s">
        <v>47</v>
      </c>
    </row>
    <row r="86" spans="1:17" x14ac:dyDescent="0.2">
      <c r="A86" s="2" t="s">
        <v>257</v>
      </c>
      <c r="B86" s="2" t="s">
        <v>258</v>
      </c>
      <c r="C86" s="3">
        <v>49</v>
      </c>
      <c r="D86" s="2" t="s">
        <v>19</v>
      </c>
      <c r="E86" s="2" t="s">
        <v>20</v>
      </c>
      <c r="F86" s="2" t="s">
        <v>49</v>
      </c>
      <c r="G86" s="2" t="s">
        <v>50</v>
      </c>
      <c r="H86" s="2" t="s">
        <v>51</v>
      </c>
      <c r="I86" s="2" t="s">
        <v>259</v>
      </c>
      <c r="J86" s="2" t="s">
        <v>53</v>
      </c>
      <c r="K86" s="2" t="s">
        <v>54</v>
      </c>
      <c r="L86" s="4">
        <v>11550.04</v>
      </c>
      <c r="M86" s="4">
        <v>8744.4699999999993</v>
      </c>
      <c r="N86" s="4">
        <v>79.39</v>
      </c>
      <c r="O86" s="4">
        <v>8665.08</v>
      </c>
      <c r="P86" s="2" t="s">
        <v>46</v>
      </c>
      <c r="Q86" s="2" t="s">
        <v>47</v>
      </c>
    </row>
    <row r="87" spans="1:17" x14ac:dyDescent="0.2">
      <c r="A87" s="5" t="s">
        <v>260</v>
      </c>
      <c r="B87" s="5" t="s">
        <v>261</v>
      </c>
      <c r="C87" s="6">
        <v>25</v>
      </c>
      <c r="D87" s="5" t="s">
        <v>39</v>
      </c>
      <c r="E87" s="5" t="s">
        <v>31</v>
      </c>
      <c r="F87" s="5" t="s">
        <v>49</v>
      </c>
      <c r="G87" s="5" t="s">
        <v>50</v>
      </c>
      <c r="H87" s="5" t="s">
        <v>51</v>
      </c>
      <c r="I87" s="5" t="s">
        <v>262</v>
      </c>
      <c r="J87" s="5" t="s">
        <v>53</v>
      </c>
      <c r="K87" s="5" t="s">
        <v>54</v>
      </c>
      <c r="L87" s="7">
        <v>3656.09</v>
      </c>
      <c r="M87" s="7">
        <v>2777.84</v>
      </c>
      <c r="N87" s="7">
        <v>22.85</v>
      </c>
      <c r="O87" s="7">
        <v>0</v>
      </c>
      <c r="P87" s="5" t="s">
        <v>55</v>
      </c>
      <c r="Q87" s="5" t="s">
        <v>47</v>
      </c>
    </row>
    <row r="88" spans="1:17" x14ac:dyDescent="0.2">
      <c r="A88" s="2" t="s">
        <v>263</v>
      </c>
      <c r="B88" s="2" t="s">
        <v>63</v>
      </c>
      <c r="C88" s="3">
        <v>73</v>
      </c>
      <c r="D88" s="2" t="s">
        <v>39</v>
      </c>
      <c r="E88" s="2" t="s">
        <v>31</v>
      </c>
      <c r="F88" s="2" t="s">
        <v>32</v>
      </c>
      <c r="G88" s="2" t="s">
        <v>33</v>
      </c>
      <c r="H88" s="2" t="s">
        <v>34</v>
      </c>
      <c r="I88" s="2" t="s">
        <v>264</v>
      </c>
      <c r="J88" s="2" t="s">
        <v>87</v>
      </c>
      <c r="K88" s="2" t="s">
        <v>88</v>
      </c>
      <c r="L88" s="4">
        <v>9652.89</v>
      </c>
      <c r="M88" s="4">
        <v>5943.3</v>
      </c>
      <c r="N88" s="4">
        <v>44.72</v>
      </c>
      <c r="O88" s="4">
        <v>5898.58</v>
      </c>
      <c r="P88" s="2" t="s">
        <v>46</v>
      </c>
      <c r="Q88" s="2" t="s">
        <v>28</v>
      </c>
    </row>
    <row r="89" spans="1:17" x14ac:dyDescent="0.2">
      <c r="A89" s="5" t="s">
        <v>265</v>
      </c>
      <c r="B89" s="5" t="s">
        <v>266</v>
      </c>
      <c r="C89" s="6">
        <v>72</v>
      </c>
      <c r="D89" s="5" t="s">
        <v>19</v>
      </c>
      <c r="E89" s="5" t="s">
        <v>20</v>
      </c>
      <c r="F89" s="5" t="s">
        <v>41</v>
      </c>
      <c r="G89" s="5" t="s">
        <v>42</v>
      </c>
      <c r="H89" s="5" t="s">
        <v>34</v>
      </c>
      <c r="I89" s="5" t="s">
        <v>267</v>
      </c>
      <c r="J89" s="5" t="s">
        <v>87</v>
      </c>
      <c r="K89" s="5" t="s">
        <v>88</v>
      </c>
      <c r="L89" s="7">
        <v>7017.95</v>
      </c>
      <c r="M89" s="7">
        <v>5401.77</v>
      </c>
      <c r="N89" s="7">
        <v>31.72</v>
      </c>
      <c r="O89" s="7">
        <v>5370.05</v>
      </c>
      <c r="P89" s="5" t="s">
        <v>46</v>
      </c>
      <c r="Q89" s="5" t="s">
        <v>28</v>
      </c>
    </row>
    <row r="90" spans="1:17" x14ac:dyDescent="0.2">
      <c r="A90" s="2" t="s">
        <v>268</v>
      </c>
      <c r="B90" s="2" t="s">
        <v>158</v>
      </c>
      <c r="C90" s="3">
        <v>72</v>
      </c>
      <c r="D90" s="2" t="s">
        <v>19</v>
      </c>
      <c r="E90" s="2" t="s">
        <v>20</v>
      </c>
      <c r="F90" s="2" t="s">
        <v>49</v>
      </c>
      <c r="G90" s="2" t="s">
        <v>50</v>
      </c>
      <c r="H90" s="2" t="s">
        <v>51</v>
      </c>
      <c r="I90" s="2" t="s">
        <v>269</v>
      </c>
      <c r="J90" s="2" t="s">
        <v>75</v>
      </c>
      <c r="K90" s="2" t="s">
        <v>76</v>
      </c>
      <c r="L90" s="4">
        <v>6096.27</v>
      </c>
      <c r="M90" s="4">
        <v>3851.37</v>
      </c>
      <c r="N90" s="4">
        <v>41.39</v>
      </c>
      <c r="O90" s="4">
        <v>0</v>
      </c>
      <c r="P90" s="2" t="s">
        <v>55</v>
      </c>
      <c r="Q90" s="2" t="s">
        <v>28</v>
      </c>
    </row>
    <row r="91" spans="1:17" x14ac:dyDescent="0.2">
      <c r="A91" s="5" t="s">
        <v>270</v>
      </c>
      <c r="B91" s="5" t="s">
        <v>151</v>
      </c>
      <c r="C91" s="6">
        <v>30</v>
      </c>
      <c r="D91" s="5" t="s">
        <v>19</v>
      </c>
      <c r="E91" s="5" t="s">
        <v>20</v>
      </c>
      <c r="F91" s="5" t="s">
        <v>32</v>
      </c>
      <c r="G91" s="5" t="s">
        <v>33</v>
      </c>
      <c r="H91" s="5" t="s">
        <v>34</v>
      </c>
      <c r="I91" s="5" t="s">
        <v>271</v>
      </c>
      <c r="J91" s="5" t="s">
        <v>44</v>
      </c>
      <c r="K91" s="5" t="s">
        <v>45</v>
      </c>
      <c r="L91" s="7">
        <v>8731.9699999999993</v>
      </c>
      <c r="M91" s="7">
        <v>7369.63</v>
      </c>
      <c r="N91" s="7">
        <v>145.75</v>
      </c>
      <c r="O91" s="7">
        <v>7223.88</v>
      </c>
      <c r="P91" s="5" t="s">
        <v>27</v>
      </c>
      <c r="Q91" s="5" t="s">
        <v>28</v>
      </c>
    </row>
    <row r="92" spans="1:17" x14ac:dyDescent="0.2">
      <c r="A92" s="2" t="s">
        <v>272</v>
      </c>
      <c r="B92" s="2" t="s">
        <v>98</v>
      </c>
      <c r="C92" s="3">
        <v>68</v>
      </c>
      <c r="D92" s="2" t="s">
        <v>39</v>
      </c>
      <c r="E92" s="2" t="s">
        <v>40</v>
      </c>
      <c r="F92" s="2" t="s">
        <v>49</v>
      </c>
      <c r="G92" s="2" t="s">
        <v>50</v>
      </c>
      <c r="H92" s="2" t="s">
        <v>51</v>
      </c>
      <c r="I92" s="2" t="s">
        <v>273</v>
      </c>
      <c r="J92" s="2" t="s">
        <v>104</v>
      </c>
      <c r="K92" s="2" t="s">
        <v>105</v>
      </c>
      <c r="L92" s="4">
        <v>9025.7900000000009</v>
      </c>
      <c r="M92" s="4">
        <v>5674.05</v>
      </c>
      <c r="N92" s="4">
        <v>69.53</v>
      </c>
      <c r="O92" s="4">
        <v>5604.52</v>
      </c>
      <c r="P92" s="2" t="s">
        <v>46</v>
      </c>
      <c r="Q92" s="2" t="s">
        <v>47</v>
      </c>
    </row>
    <row r="93" spans="1:17" x14ac:dyDescent="0.2">
      <c r="A93" s="5" t="s">
        <v>274</v>
      </c>
      <c r="B93" s="5" t="s">
        <v>275</v>
      </c>
      <c r="C93" s="6">
        <v>51</v>
      </c>
      <c r="D93" s="5" t="s">
        <v>39</v>
      </c>
      <c r="E93" s="5" t="s">
        <v>20</v>
      </c>
      <c r="F93" s="5" t="s">
        <v>32</v>
      </c>
      <c r="G93" s="5" t="s">
        <v>33</v>
      </c>
      <c r="H93" s="5" t="s">
        <v>34</v>
      </c>
      <c r="I93" s="5" t="s">
        <v>276</v>
      </c>
      <c r="J93" s="5" t="s">
        <v>53</v>
      </c>
      <c r="K93" s="5" t="s">
        <v>54</v>
      </c>
      <c r="L93" s="7">
        <v>899.12</v>
      </c>
      <c r="M93" s="7">
        <v>716.74</v>
      </c>
      <c r="N93" s="7">
        <v>138.22</v>
      </c>
      <c r="O93" s="7">
        <v>578.52</v>
      </c>
      <c r="P93" s="5" t="s">
        <v>46</v>
      </c>
      <c r="Q93" s="5" t="s">
        <v>28</v>
      </c>
    </row>
    <row r="94" spans="1:17" x14ac:dyDescent="0.2">
      <c r="A94" s="2" t="s">
        <v>277</v>
      </c>
      <c r="B94" s="2" t="s">
        <v>151</v>
      </c>
      <c r="C94" s="3">
        <v>67</v>
      </c>
      <c r="D94" s="2" t="s">
        <v>19</v>
      </c>
      <c r="E94" s="2" t="s">
        <v>31</v>
      </c>
      <c r="F94" s="2" t="s">
        <v>41</v>
      </c>
      <c r="G94" s="2" t="s">
        <v>42</v>
      </c>
      <c r="H94" s="2" t="s">
        <v>34</v>
      </c>
      <c r="I94" s="2" t="s">
        <v>278</v>
      </c>
      <c r="J94" s="2" t="s">
        <v>87</v>
      </c>
      <c r="K94" s="2" t="s">
        <v>88</v>
      </c>
      <c r="L94" s="4">
        <v>1301.73</v>
      </c>
      <c r="M94" s="4">
        <v>1062.44</v>
      </c>
      <c r="N94" s="4">
        <v>37.64</v>
      </c>
      <c r="O94" s="4">
        <v>0</v>
      </c>
      <c r="P94" s="2" t="s">
        <v>55</v>
      </c>
      <c r="Q94" s="2" t="s">
        <v>28</v>
      </c>
    </row>
    <row r="95" spans="1:17" x14ac:dyDescent="0.2">
      <c r="A95" s="5" t="s">
        <v>279</v>
      </c>
      <c r="B95" s="5" t="s">
        <v>66</v>
      </c>
      <c r="C95" s="6">
        <v>53</v>
      </c>
      <c r="D95" s="5" t="s">
        <v>19</v>
      </c>
      <c r="E95" s="5" t="s">
        <v>20</v>
      </c>
      <c r="F95" s="5" t="s">
        <v>21</v>
      </c>
      <c r="G95" s="5" t="s">
        <v>22</v>
      </c>
      <c r="H95" s="5" t="s">
        <v>23</v>
      </c>
      <c r="I95" s="5" t="s">
        <v>280</v>
      </c>
      <c r="J95" s="5" t="s">
        <v>144</v>
      </c>
      <c r="K95" s="5" t="s">
        <v>145</v>
      </c>
      <c r="L95" s="7">
        <v>7445.48</v>
      </c>
      <c r="M95" s="7">
        <v>6192.52</v>
      </c>
      <c r="N95" s="7">
        <v>56.37</v>
      </c>
      <c r="O95" s="7">
        <v>6136.15</v>
      </c>
      <c r="P95" s="5" t="s">
        <v>46</v>
      </c>
      <c r="Q95" s="5" t="s">
        <v>47</v>
      </c>
    </row>
    <row r="96" spans="1:17" x14ac:dyDescent="0.2">
      <c r="A96" s="2" t="s">
        <v>281</v>
      </c>
      <c r="B96" s="2" t="s">
        <v>258</v>
      </c>
      <c r="C96" s="3">
        <v>32</v>
      </c>
      <c r="D96" s="2" t="s">
        <v>19</v>
      </c>
      <c r="E96" s="2" t="s">
        <v>20</v>
      </c>
      <c r="F96" s="2" t="s">
        <v>49</v>
      </c>
      <c r="G96" s="2" t="s">
        <v>50</v>
      </c>
      <c r="H96" s="2" t="s">
        <v>51</v>
      </c>
      <c r="I96" s="2" t="s">
        <v>154</v>
      </c>
      <c r="J96" s="2" t="s">
        <v>25</v>
      </c>
      <c r="K96" s="2" t="s">
        <v>26</v>
      </c>
      <c r="L96" s="4">
        <v>10835.1</v>
      </c>
      <c r="M96" s="4">
        <v>8055.33</v>
      </c>
      <c r="N96" s="4">
        <v>27.87</v>
      </c>
      <c r="O96" s="4">
        <v>8027.46</v>
      </c>
      <c r="P96" s="2" t="s">
        <v>46</v>
      </c>
      <c r="Q96" s="2" t="s">
        <v>28</v>
      </c>
    </row>
    <row r="97" spans="1:17" x14ac:dyDescent="0.2">
      <c r="A97" s="5" t="s">
        <v>282</v>
      </c>
      <c r="B97" s="5" t="s">
        <v>66</v>
      </c>
      <c r="C97" s="6">
        <v>29</v>
      </c>
      <c r="D97" s="5" t="s">
        <v>39</v>
      </c>
      <c r="E97" s="5" t="s">
        <v>31</v>
      </c>
      <c r="F97" s="5" t="s">
        <v>21</v>
      </c>
      <c r="G97" s="5" t="s">
        <v>22</v>
      </c>
      <c r="H97" s="5" t="s">
        <v>23</v>
      </c>
      <c r="I97" s="5" t="s">
        <v>267</v>
      </c>
      <c r="J97" s="5" t="s">
        <v>53</v>
      </c>
      <c r="K97" s="5" t="s">
        <v>54</v>
      </c>
      <c r="L97" s="7">
        <v>9473.52</v>
      </c>
      <c r="M97" s="7">
        <v>5902.67</v>
      </c>
      <c r="N97" s="7">
        <v>36.369999999999997</v>
      </c>
      <c r="O97" s="7">
        <v>5866.3</v>
      </c>
      <c r="P97" s="5" t="s">
        <v>27</v>
      </c>
      <c r="Q97" s="5" t="s">
        <v>28</v>
      </c>
    </row>
    <row r="98" spans="1:17" x14ac:dyDescent="0.2">
      <c r="A98" s="2" t="s">
        <v>283</v>
      </c>
      <c r="B98" s="2" t="s">
        <v>176</v>
      </c>
      <c r="C98" s="3">
        <v>41</v>
      </c>
      <c r="D98" s="2" t="s">
        <v>39</v>
      </c>
      <c r="E98" s="2" t="s">
        <v>20</v>
      </c>
      <c r="F98" s="2" t="s">
        <v>32</v>
      </c>
      <c r="G98" s="2" t="s">
        <v>33</v>
      </c>
      <c r="H98" s="2" t="s">
        <v>34</v>
      </c>
      <c r="I98" s="2" t="s">
        <v>230</v>
      </c>
      <c r="J98" s="2" t="s">
        <v>68</v>
      </c>
      <c r="K98" s="2" t="s">
        <v>69</v>
      </c>
      <c r="L98" s="4">
        <v>183.6</v>
      </c>
      <c r="M98" s="4">
        <v>148.26</v>
      </c>
      <c r="N98" s="4">
        <v>38.81</v>
      </c>
      <c r="O98" s="4">
        <v>109.45</v>
      </c>
      <c r="P98" s="2" t="s">
        <v>46</v>
      </c>
      <c r="Q98" s="2" t="s">
        <v>28</v>
      </c>
    </row>
    <row r="99" spans="1:17" x14ac:dyDescent="0.2">
      <c r="A99" s="5" t="s">
        <v>284</v>
      </c>
      <c r="B99" s="5" t="s">
        <v>285</v>
      </c>
      <c r="C99" s="6">
        <v>28</v>
      </c>
      <c r="D99" s="5" t="s">
        <v>39</v>
      </c>
      <c r="E99" s="5" t="s">
        <v>31</v>
      </c>
      <c r="F99" s="5" t="s">
        <v>21</v>
      </c>
      <c r="G99" s="5" t="s">
        <v>22</v>
      </c>
      <c r="H99" s="5" t="s">
        <v>23</v>
      </c>
      <c r="I99" s="5" t="s">
        <v>286</v>
      </c>
      <c r="J99" s="5" t="s">
        <v>44</v>
      </c>
      <c r="K99" s="5" t="s">
        <v>45</v>
      </c>
      <c r="L99" s="7">
        <v>9511.32</v>
      </c>
      <c r="M99" s="7">
        <v>5910.14</v>
      </c>
      <c r="N99" s="7">
        <v>62.09</v>
      </c>
      <c r="O99" s="7">
        <v>5848.05</v>
      </c>
      <c r="P99" s="5" t="s">
        <v>46</v>
      </c>
      <c r="Q99" s="5" t="s">
        <v>28</v>
      </c>
    </row>
    <row r="100" spans="1:17" x14ac:dyDescent="0.2">
      <c r="A100" s="2" t="s">
        <v>287</v>
      </c>
      <c r="B100" s="2" t="s">
        <v>57</v>
      </c>
      <c r="C100" s="3">
        <v>64</v>
      </c>
      <c r="D100" s="2" t="s">
        <v>39</v>
      </c>
      <c r="E100" s="2" t="s">
        <v>31</v>
      </c>
      <c r="F100" s="2" t="s">
        <v>41</v>
      </c>
      <c r="G100" s="2" t="s">
        <v>42</v>
      </c>
      <c r="H100" s="2" t="s">
        <v>34</v>
      </c>
      <c r="I100" s="2" t="s">
        <v>288</v>
      </c>
      <c r="J100" s="2" t="s">
        <v>25</v>
      </c>
      <c r="K100" s="2" t="s">
        <v>26</v>
      </c>
      <c r="L100" s="4">
        <v>9369.5</v>
      </c>
      <c r="M100" s="4">
        <v>6595.86</v>
      </c>
      <c r="N100" s="4">
        <v>34.18</v>
      </c>
      <c r="O100" s="4">
        <v>6561.68</v>
      </c>
      <c r="P100" s="2" t="s">
        <v>27</v>
      </c>
      <c r="Q100" s="2" t="s">
        <v>47</v>
      </c>
    </row>
    <row r="101" spans="1:17" x14ac:dyDescent="0.2">
      <c r="A101" s="5" t="s">
        <v>289</v>
      </c>
      <c r="B101" s="5" t="s">
        <v>290</v>
      </c>
      <c r="C101" s="6">
        <v>70</v>
      </c>
      <c r="D101" s="5" t="s">
        <v>19</v>
      </c>
      <c r="E101" s="5" t="s">
        <v>20</v>
      </c>
      <c r="F101" s="5" t="s">
        <v>21</v>
      </c>
      <c r="G101" s="5" t="s">
        <v>22</v>
      </c>
      <c r="H101" s="5" t="s">
        <v>23</v>
      </c>
      <c r="I101" s="5" t="s">
        <v>117</v>
      </c>
      <c r="J101" s="5" t="s">
        <v>104</v>
      </c>
      <c r="K101" s="5" t="s">
        <v>105</v>
      </c>
      <c r="L101" s="7">
        <v>11983.25</v>
      </c>
      <c r="M101" s="7">
        <v>9636.7999999999993</v>
      </c>
      <c r="N101" s="7">
        <v>75.42</v>
      </c>
      <c r="O101" s="7">
        <v>9561.3799999999992</v>
      </c>
      <c r="P101" s="5" t="s">
        <v>46</v>
      </c>
      <c r="Q101" s="5" t="s">
        <v>47</v>
      </c>
    </row>
    <row r="102" spans="1:17" x14ac:dyDescent="0.2">
      <c r="A102" s="2" t="s">
        <v>291</v>
      </c>
      <c r="B102" s="2" t="s">
        <v>247</v>
      </c>
      <c r="C102" s="3">
        <v>63</v>
      </c>
      <c r="D102" s="2" t="s">
        <v>19</v>
      </c>
      <c r="E102" s="2" t="s">
        <v>40</v>
      </c>
      <c r="F102" s="2" t="s">
        <v>32</v>
      </c>
      <c r="G102" s="2" t="s">
        <v>33</v>
      </c>
      <c r="H102" s="2" t="s">
        <v>34</v>
      </c>
      <c r="I102" s="2" t="s">
        <v>292</v>
      </c>
      <c r="J102" s="2" t="s">
        <v>53</v>
      </c>
      <c r="K102" s="2" t="s">
        <v>54</v>
      </c>
      <c r="L102" s="4">
        <v>1645.37</v>
      </c>
      <c r="M102" s="4">
        <v>1213.1199999999999</v>
      </c>
      <c r="N102" s="4">
        <v>96.1</v>
      </c>
      <c r="O102" s="4">
        <v>1117.02</v>
      </c>
      <c r="P102" s="2" t="s">
        <v>46</v>
      </c>
      <c r="Q102" s="2" t="s">
        <v>47</v>
      </c>
    </row>
    <row r="103" spans="1:17" x14ac:dyDescent="0.2">
      <c r="A103" s="5" t="s">
        <v>293</v>
      </c>
      <c r="B103" s="5" t="s">
        <v>71</v>
      </c>
      <c r="C103" s="6">
        <v>53</v>
      </c>
      <c r="D103" s="5" t="s">
        <v>39</v>
      </c>
      <c r="E103" s="5" t="s">
        <v>40</v>
      </c>
      <c r="F103" s="5" t="s">
        <v>21</v>
      </c>
      <c r="G103" s="5" t="s">
        <v>22</v>
      </c>
      <c r="H103" s="5" t="s">
        <v>23</v>
      </c>
      <c r="I103" s="5" t="s">
        <v>294</v>
      </c>
      <c r="J103" s="5" t="s">
        <v>25</v>
      </c>
      <c r="K103" s="5" t="s">
        <v>26</v>
      </c>
      <c r="L103" s="7">
        <v>7863.36</v>
      </c>
      <c r="M103" s="7">
        <v>6138.84</v>
      </c>
      <c r="N103" s="7">
        <v>113.71</v>
      </c>
      <c r="O103" s="7">
        <v>6025.13</v>
      </c>
      <c r="P103" s="5" t="s">
        <v>46</v>
      </c>
      <c r="Q103" s="5" t="s">
        <v>47</v>
      </c>
    </row>
    <row r="104" spans="1:17" x14ac:dyDescent="0.2">
      <c r="A104" s="2" t="s">
        <v>295</v>
      </c>
      <c r="B104" s="2" t="s">
        <v>113</v>
      </c>
      <c r="C104" s="3">
        <v>68</v>
      </c>
      <c r="D104" s="2" t="s">
        <v>19</v>
      </c>
      <c r="E104" s="2" t="s">
        <v>20</v>
      </c>
      <c r="F104" s="2" t="s">
        <v>41</v>
      </c>
      <c r="G104" s="2" t="s">
        <v>42</v>
      </c>
      <c r="H104" s="2" t="s">
        <v>34</v>
      </c>
      <c r="I104" s="2" t="s">
        <v>296</v>
      </c>
      <c r="J104" s="2" t="s">
        <v>144</v>
      </c>
      <c r="K104" s="2" t="s">
        <v>145</v>
      </c>
      <c r="L104" s="4">
        <v>1276.77</v>
      </c>
      <c r="M104" s="4">
        <v>865.69</v>
      </c>
      <c r="N104" s="4">
        <v>106.46</v>
      </c>
      <c r="O104" s="4">
        <v>759.23</v>
      </c>
      <c r="P104" s="2" t="s">
        <v>46</v>
      </c>
      <c r="Q104" s="2" t="s">
        <v>28</v>
      </c>
    </row>
    <row r="105" spans="1:17" x14ac:dyDescent="0.2">
      <c r="A105" s="5" t="s">
        <v>297</v>
      </c>
      <c r="B105" s="5" t="s">
        <v>92</v>
      </c>
      <c r="C105" s="6">
        <v>60</v>
      </c>
      <c r="D105" s="5" t="s">
        <v>19</v>
      </c>
      <c r="E105" s="5" t="s">
        <v>31</v>
      </c>
      <c r="F105" s="5" t="s">
        <v>41</v>
      </c>
      <c r="G105" s="5" t="s">
        <v>42</v>
      </c>
      <c r="H105" s="5" t="s">
        <v>34</v>
      </c>
      <c r="I105" s="5" t="s">
        <v>147</v>
      </c>
      <c r="J105" s="5" t="s">
        <v>25</v>
      </c>
      <c r="K105" s="5" t="s">
        <v>26</v>
      </c>
      <c r="L105" s="7">
        <v>8973.3799999999992</v>
      </c>
      <c r="M105" s="7">
        <v>5938.53</v>
      </c>
      <c r="N105" s="7">
        <v>36.92</v>
      </c>
      <c r="O105" s="7">
        <v>5901.61</v>
      </c>
      <c r="P105" s="5" t="s">
        <v>46</v>
      </c>
      <c r="Q105" s="5" t="s">
        <v>47</v>
      </c>
    </row>
    <row r="106" spans="1:17" x14ac:dyDescent="0.2">
      <c r="A106" s="2" t="s">
        <v>298</v>
      </c>
      <c r="B106" s="2" t="s">
        <v>186</v>
      </c>
      <c r="C106" s="3">
        <v>57</v>
      </c>
      <c r="D106" s="2" t="s">
        <v>39</v>
      </c>
      <c r="E106" s="2" t="s">
        <v>20</v>
      </c>
      <c r="F106" s="2" t="s">
        <v>41</v>
      </c>
      <c r="G106" s="2" t="s">
        <v>42</v>
      </c>
      <c r="H106" s="2" t="s">
        <v>34</v>
      </c>
      <c r="I106" s="2" t="s">
        <v>299</v>
      </c>
      <c r="J106" s="2" t="s">
        <v>68</v>
      </c>
      <c r="K106" s="2" t="s">
        <v>69</v>
      </c>
      <c r="L106" s="4">
        <v>759.64</v>
      </c>
      <c r="M106" s="4">
        <v>483.35</v>
      </c>
      <c r="N106" s="4">
        <v>60.62</v>
      </c>
      <c r="O106" s="4">
        <v>422.73</v>
      </c>
      <c r="P106" s="2" t="s">
        <v>46</v>
      </c>
      <c r="Q106" s="2" t="s">
        <v>47</v>
      </c>
    </row>
    <row r="107" spans="1:17" x14ac:dyDescent="0.2">
      <c r="A107" s="5" t="s">
        <v>300</v>
      </c>
      <c r="B107" s="5" t="s">
        <v>57</v>
      </c>
      <c r="C107" s="6">
        <v>52</v>
      </c>
      <c r="D107" s="5" t="s">
        <v>39</v>
      </c>
      <c r="E107" s="5" t="s">
        <v>31</v>
      </c>
      <c r="F107" s="5" t="s">
        <v>21</v>
      </c>
      <c r="G107" s="5" t="s">
        <v>22</v>
      </c>
      <c r="H107" s="5" t="s">
        <v>23</v>
      </c>
      <c r="I107" s="5" t="s">
        <v>301</v>
      </c>
      <c r="J107" s="5" t="s">
        <v>36</v>
      </c>
      <c r="K107" s="5" t="s">
        <v>37</v>
      </c>
      <c r="L107" s="7">
        <v>10167.68</v>
      </c>
      <c r="M107" s="7">
        <v>6713.4</v>
      </c>
      <c r="N107" s="7">
        <v>119.14</v>
      </c>
      <c r="O107" s="7">
        <v>6594.26</v>
      </c>
      <c r="P107" s="5" t="s">
        <v>27</v>
      </c>
      <c r="Q107" s="5" t="s">
        <v>47</v>
      </c>
    </row>
    <row r="108" spans="1:17" x14ac:dyDescent="0.2">
      <c r="A108" s="2" t="s">
        <v>302</v>
      </c>
      <c r="B108" s="2" t="s">
        <v>303</v>
      </c>
      <c r="C108" s="3">
        <v>34</v>
      </c>
      <c r="D108" s="2" t="s">
        <v>19</v>
      </c>
      <c r="E108" s="2" t="s">
        <v>20</v>
      </c>
      <c r="F108" s="2" t="s">
        <v>32</v>
      </c>
      <c r="G108" s="2" t="s">
        <v>33</v>
      </c>
      <c r="H108" s="2" t="s">
        <v>34</v>
      </c>
      <c r="I108" s="2" t="s">
        <v>304</v>
      </c>
      <c r="J108" s="2" t="s">
        <v>167</v>
      </c>
      <c r="K108" s="2" t="s">
        <v>168</v>
      </c>
      <c r="L108" s="4">
        <v>8476.98</v>
      </c>
      <c r="M108" s="4">
        <v>5448.12</v>
      </c>
      <c r="N108" s="4">
        <v>64.180000000000007</v>
      </c>
      <c r="O108" s="4">
        <v>5383.94</v>
      </c>
      <c r="P108" s="2" t="s">
        <v>46</v>
      </c>
      <c r="Q108" s="2" t="s">
        <v>28</v>
      </c>
    </row>
    <row r="109" spans="1:17" x14ac:dyDescent="0.2">
      <c r="A109" s="5" t="s">
        <v>305</v>
      </c>
      <c r="B109" s="5" t="s">
        <v>306</v>
      </c>
      <c r="C109" s="6">
        <v>45</v>
      </c>
      <c r="D109" s="5" t="s">
        <v>39</v>
      </c>
      <c r="E109" s="5" t="s">
        <v>20</v>
      </c>
      <c r="F109" s="5" t="s">
        <v>99</v>
      </c>
      <c r="G109" s="5" t="s">
        <v>100</v>
      </c>
      <c r="H109" s="5" t="s">
        <v>34</v>
      </c>
      <c r="I109" s="5" t="s">
        <v>307</v>
      </c>
      <c r="J109" s="5" t="s">
        <v>25</v>
      </c>
      <c r="K109" s="5" t="s">
        <v>26</v>
      </c>
      <c r="L109" s="7">
        <v>4607.8999999999996</v>
      </c>
      <c r="M109" s="7">
        <v>3161.45</v>
      </c>
      <c r="N109" s="7">
        <v>40.46</v>
      </c>
      <c r="O109" s="7">
        <v>3120.99</v>
      </c>
      <c r="P109" s="5" t="s">
        <v>46</v>
      </c>
      <c r="Q109" s="5" t="s">
        <v>28</v>
      </c>
    </row>
    <row r="110" spans="1:17" x14ac:dyDescent="0.2">
      <c r="A110" s="2" t="s">
        <v>308</v>
      </c>
      <c r="B110" s="2" t="s">
        <v>202</v>
      </c>
      <c r="C110" s="3">
        <v>51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309</v>
      </c>
      <c r="J110" s="2" t="s">
        <v>53</v>
      </c>
      <c r="K110" s="2" t="s">
        <v>54</v>
      </c>
      <c r="L110" s="4">
        <v>1116.74</v>
      </c>
      <c r="M110" s="4">
        <v>762.66</v>
      </c>
      <c r="N110" s="4">
        <v>75.12</v>
      </c>
      <c r="O110" s="4">
        <v>687.54</v>
      </c>
      <c r="P110" s="2" t="s">
        <v>27</v>
      </c>
      <c r="Q110" s="2" t="s">
        <v>28</v>
      </c>
    </row>
    <row r="111" spans="1:17" x14ac:dyDescent="0.2">
      <c r="A111" s="5" t="s">
        <v>310</v>
      </c>
      <c r="B111" s="5" t="s">
        <v>232</v>
      </c>
      <c r="C111" s="6">
        <v>39</v>
      </c>
      <c r="D111" s="5" t="s">
        <v>19</v>
      </c>
      <c r="E111" s="5" t="s">
        <v>31</v>
      </c>
      <c r="F111" s="5" t="s">
        <v>41</v>
      </c>
      <c r="G111" s="5" t="s">
        <v>42</v>
      </c>
      <c r="H111" s="5" t="s">
        <v>34</v>
      </c>
      <c r="I111" s="5" t="s">
        <v>311</v>
      </c>
      <c r="J111" s="5" t="s">
        <v>68</v>
      </c>
      <c r="K111" s="5" t="s">
        <v>69</v>
      </c>
      <c r="L111" s="7">
        <v>3506.47</v>
      </c>
      <c r="M111" s="7">
        <v>2642.29</v>
      </c>
      <c r="N111" s="7">
        <v>83.26</v>
      </c>
      <c r="O111" s="7">
        <v>2559.0300000000002</v>
      </c>
      <c r="P111" s="5" t="s">
        <v>46</v>
      </c>
      <c r="Q111" s="5" t="s">
        <v>28</v>
      </c>
    </row>
    <row r="112" spans="1:17" x14ac:dyDescent="0.2">
      <c r="A112" s="2" t="s">
        <v>312</v>
      </c>
      <c r="B112" s="2" t="s">
        <v>313</v>
      </c>
      <c r="C112" s="3">
        <v>56</v>
      </c>
      <c r="D112" s="2" t="s">
        <v>19</v>
      </c>
      <c r="E112" s="2" t="s">
        <v>20</v>
      </c>
      <c r="F112" s="2" t="s">
        <v>49</v>
      </c>
      <c r="G112" s="2" t="s">
        <v>50</v>
      </c>
      <c r="H112" s="2" t="s">
        <v>51</v>
      </c>
      <c r="I112" s="2" t="s">
        <v>307</v>
      </c>
      <c r="J112" s="2" t="s">
        <v>36</v>
      </c>
      <c r="K112" s="2" t="s">
        <v>37</v>
      </c>
      <c r="L112" s="4">
        <v>9243.09</v>
      </c>
      <c r="M112" s="4">
        <v>7202.66</v>
      </c>
      <c r="N112" s="4">
        <v>57.63</v>
      </c>
      <c r="O112" s="4">
        <v>7145.03</v>
      </c>
      <c r="P112" s="2" t="s">
        <v>46</v>
      </c>
      <c r="Q112" s="2" t="s">
        <v>47</v>
      </c>
    </row>
    <row r="113" spans="1:17" x14ac:dyDescent="0.2">
      <c r="A113" s="5" t="s">
        <v>314</v>
      </c>
      <c r="B113" s="5" t="s">
        <v>133</v>
      </c>
      <c r="C113" s="6">
        <v>27</v>
      </c>
      <c r="D113" s="5" t="s">
        <v>19</v>
      </c>
      <c r="E113" s="5" t="s">
        <v>20</v>
      </c>
      <c r="F113" s="5" t="s">
        <v>32</v>
      </c>
      <c r="G113" s="5" t="s">
        <v>33</v>
      </c>
      <c r="H113" s="5" t="s">
        <v>34</v>
      </c>
      <c r="I113" s="5" t="s">
        <v>269</v>
      </c>
      <c r="J113" s="5" t="s">
        <v>75</v>
      </c>
      <c r="K113" s="5" t="s">
        <v>76</v>
      </c>
      <c r="L113" s="7">
        <v>6770.87</v>
      </c>
      <c r="M113" s="7">
        <v>5080.96</v>
      </c>
      <c r="N113" s="7">
        <v>66.040000000000006</v>
      </c>
      <c r="O113" s="7">
        <v>0</v>
      </c>
      <c r="P113" s="5" t="s">
        <v>55</v>
      </c>
      <c r="Q113" s="5" t="s">
        <v>28</v>
      </c>
    </row>
    <row r="114" spans="1:17" x14ac:dyDescent="0.2">
      <c r="A114" s="2" t="s">
        <v>315</v>
      </c>
      <c r="B114" s="2" t="s">
        <v>213</v>
      </c>
      <c r="C114" s="3">
        <v>26</v>
      </c>
      <c r="D114" s="2" t="s">
        <v>19</v>
      </c>
      <c r="E114" s="2" t="s">
        <v>20</v>
      </c>
      <c r="F114" s="2" t="s">
        <v>99</v>
      </c>
      <c r="G114" s="2" t="s">
        <v>100</v>
      </c>
      <c r="H114" s="2" t="s">
        <v>34</v>
      </c>
      <c r="I114" s="2" t="s">
        <v>164</v>
      </c>
      <c r="J114" s="2" t="s">
        <v>68</v>
      </c>
      <c r="K114" s="2" t="s">
        <v>69</v>
      </c>
      <c r="L114" s="4">
        <v>6944.79</v>
      </c>
      <c r="M114" s="4">
        <v>5297.83</v>
      </c>
      <c r="N114" s="4">
        <v>74.3</v>
      </c>
      <c r="O114" s="4">
        <v>5223.53</v>
      </c>
      <c r="P114" s="2" t="s">
        <v>46</v>
      </c>
      <c r="Q114" s="2" t="s">
        <v>47</v>
      </c>
    </row>
    <row r="115" spans="1:17" x14ac:dyDescent="0.2">
      <c r="A115" s="5" t="s">
        <v>316</v>
      </c>
      <c r="B115" s="5" t="s">
        <v>18</v>
      </c>
      <c r="C115" s="6">
        <v>50</v>
      </c>
      <c r="D115" s="5" t="s">
        <v>19</v>
      </c>
      <c r="E115" s="5" t="s">
        <v>31</v>
      </c>
      <c r="F115" s="5" t="s">
        <v>21</v>
      </c>
      <c r="G115" s="5" t="s">
        <v>22</v>
      </c>
      <c r="H115" s="5" t="s">
        <v>23</v>
      </c>
      <c r="I115" s="5" t="s">
        <v>317</v>
      </c>
      <c r="J115" s="5" t="s">
        <v>68</v>
      </c>
      <c r="K115" s="5" t="s">
        <v>69</v>
      </c>
      <c r="L115" s="7">
        <v>10157.14</v>
      </c>
      <c r="M115" s="7">
        <v>6327.85</v>
      </c>
      <c r="N115" s="7">
        <v>96.55</v>
      </c>
      <c r="O115" s="7">
        <v>6231.3</v>
      </c>
      <c r="P115" s="5" t="s">
        <v>27</v>
      </c>
      <c r="Q115" s="5" t="s">
        <v>28</v>
      </c>
    </row>
    <row r="116" spans="1:17" x14ac:dyDescent="0.2">
      <c r="A116" s="2" t="s">
        <v>318</v>
      </c>
      <c r="B116" s="2" t="s">
        <v>183</v>
      </c>
      <c r="C116" s="3">
        <v>71</v>
      </c>
      <c r="D116" s="2" t="s">
        <v>39</v>
      </c>
      <c r="E116" s="2" t="s">
        <v>20</v>
      </c>
      <c r="F116" s="2" t="s">
        <v>32</v>
      </c>
      <c r="G116" s="2" t="s">
        <v>33</v>
      </c>
      <c r="H116" s="2" t="s">
        <v>34</v>
      </c>
      <c r="I116" s="2" t="s">
        <v>147</v>
      </c>
      <c r="J116" s="2" t="s">
        <v>68</v>
      </c>
      <c r="K116" s="2" t="s">
        <v>69</v>
      </c>
      <c r="L116" s="4">
        <v>6199.23</v>
      </c>
      <c r="M116" s="4">
        <v>3621.64</v>
      </c>
      <c r="N116" s="4">
        <v>86.29</v>
      </c>
      <c r="O116" s="4">
        <v>3535.35</v>
      </c>
      <c r="P116" s="2" t="s">
        <v>46</v>
      </c>
      <c r="Q116" s="2" t="s">
        <v>28</v>
      </c>
    </row>
    <row r="117" spans="1:17" x14ac:dyDescent="0.2">
      <c r="A117" s="5" t="s">
        <v>319</v>
      </c>
      <c r="B117" s="5" t="s">
        <v>161</v>
      </c>
      <c r="C117" s="6">
        <v>65</v>
      </c>
      <c r="D117" s="5" t="s">
        <v>19</v>
      </c>
      <c r="E117" s="5" t="s">
        <v>40</v>
      </c>
      <c r="F117" s="5" t="s">
        <v>32</v>
      </c>
      <c r="G117" s="5" t="s">
        <v>33</v>
      </c>
      <c r="H117" s="5" t="s">
        <v>34</v>
      </c>
      <c r="I117" s="5" t="s">
        <v>181</v>
      </c>
      <c r="J117" s="5" t="s">
        <v>87</v>
      </c>
      <c r="K117" s="5" t="s">
        <v>88</v>
      </c>
      <c r="L117" s="7">
        <v>7288.43</v>
      </c>
      <c r="M117" s="7">
        <v>5670.87</v>
      </c>
      <c r="N117" s="7">
        <v>105.22</v>
      </c>
      <c r="O117" s="7">
        <v>5565.65</v>
      </c>
      <c r="P117" s="5" t="s">
        <v>46</v>
      </c>
      <c r="Q117" s="5" t="s">
        <v>47</v>
      </c>
    </row>
    <row r="118" spans="1:17" x14ac:dyDescent="0.2">
      <c r="A118" s="2" t="s">
        <v>320</v>
      </c>
      <c r="B118" s="2" t="s">
        <v>321</v>
      </c>
      <c r="C118" s="3">
        <v>53</v>
      </c>
      <c r="D118" s="2" t="s">
        <v>19</v>
      </c>
      <c r="E118" s="2" t="s">
        <v>40</v>
      </c>
      <c r="F118" s="2" t="s">
        <v>99</v>
      </c>
      <c r="G118" s="2" t="s">
        <v>100</v>
      </c>
      <c r="H118" s="2" t="s">
        <v>34</v>
      </c>
      <c r="I118" s="2" t="s">
        <v>322</v>
      </c>
      <c r="J118" s="2" t="s">
        <v>53</v>
      </c>
      <c r="K118" s="2" t="s">
        <v>54</v>
      </c>
      <c r="L118" s="4">
        <v>10391.33</v>
      </c>
      <c r="M118" s="4">
        <v>7670.52</v>
      </c>
      <c r="N118" s="4">
        <v>39.619999999999997</v>
      </c>
      <c r="O118" s="4">
        <v>7630.9</v>
      </c>
      <c r="P118" s="2" t="s">
        <v>46</v>
      </c>
      <c r="Q118" s="2" t="s">
        <v>28</v>
      </c>
    </row>
    <row r="119" spans="1:17" x14ac:dyDescent="0.2">
      <c r="A119" s="5" t="s">
        <v>323</v>
      </c>
      <c r="B119" s="5" t="s">
        <v>85</v>
      </c>
      <c r="C119" s="6">
        <v>66</v>
      </c>
      <c r="D119" s="5" t="s">
        <v>39</v>
      </c>
      <c r="E119" s="5" t="s">
        <v>31</v>
      </c>
      <c r="F119" s="5" t="s">
        <v>99</v>
      </c>
      <c r="G119" s="5" t="s">
        <v>100</v>
      </c>
      <c r="H119" s="5" t="s">
        <v>34</v>
      </c>
      <c r="I119" s="5" t="s">
        <v>324</v>
      </c>
      <c r="J119" s="5" t="s">
        <v>68</v>
      </c>
      <c r="K119" s="5" t="s">
        <v>69</v>
      </c>
      <c r="L119" s="7">
        <v>3828.33</v>
      </c>
      <c r="M119" s="7">
        <v>2624.6</v>
      </c>
      <c r="N119" s="7">
        <v>27.4</v>
      </c>
      <c r="O119" s="7">
        <v>2597.1999999999998</v>
      </c>
      <c r="P119" s="5" t="s">
        <v>46</v>
      </c>
      <c r="Q119" s="5" t="s">
        <v>47</v>
      </c>
    </row>
    <row r="120" spans="1:17" x14ac:dyDescent="0.2">
      <c r="A120" s="2" t="s">
        <v>325</v>
      </c>
      <c r="B120" s="2" t="s">
        <v>275</v>
      </c>
      <c r="C120" s="3">
        <v>37</v>
      </c>
      <c r="D120" s="2" t="s">
        <v>19</v>
      </c>
      <c r="E120" s="2" t="s">
        <v>31</v>
      </c>
      <c r="F120" s="2" t="s">
        <v>99</v>
      </c>
      <c r="G120" s="2" t="s">
        <v>100</v>
      </c>
      <c r="H120" s="2" t="s">
        <v>34</v>
      </c>
      <c r="I120" s="2" t="s">
        <v>326</v>
      </c>
      <c r="J120" s="2" t="s">
        <v>104</v>
      </c>
      <c r="K120" s="2" t="s">
        <v>105</v>
      </c>
      <c r="L120" s="4">
        <v>11457.64</v>
      </c>
      <c r="M120" s="4">
        <v>8841.59</v>
      </c>
      <c r="N120" s="4">
        <v>25.33</v>
      </c>
      <c r="O120" s="4">
        <v>8816.26</v>
      </c>
      <c r="P120" s="2" t="s">
        <v>27</v>
      </c>
      <c r="Q120" s="2" t="s">
        <v>28</v>
      </c>
    </row>
    <row r="121" spans="1:17" x14ac:dyDescent="0.2">
      <c r="A121" s="5" t="s">
        <v>327</v>
      </c>
      <c r="B121" s="5" t="s">
        <v>130</v>
      </c>
      <c r="C121" s="6">
        <v>66</v>
      </c>
      <c r="D121" s="5" t="s">
        <v>39</v>
      </c>
      <c r="E121" s="5" t="s">
        <v>20</v>
      </c>
      <c r="F121" s="5" t="s">
        <v>41</v>
      </c>
      <c r="G121" s="5" t="s">
        <v>42</v>
      </c>
      <c r="H121" s="5" t="s">
        <v>34</v>
      </c>
      <c r="I121" s="5" t="s">
        <v>328</v>
      </c>
      <c r="J121" s="5" t="s">
        <v>167</v>
      </c>
      <c r="K121" s="5" t="s">
        <v>168</v>
      </c>
      <c r="L121" s="7">
        <v>9759.9599999999991</v>
      </c>
      <c r="M121" s="7">
        <v>7819.81</v>
      </c>
      <c r="N121" s="7">
        <v>147.71</v>
      </c>
      <c r="O121" s="7">
        <v>7672.1</v>
      </c>
      <c r="P121" s="5" t="s">
        <v>46</v>
      </c>
      <c r="Q121" s="5" t="s">
        <v>47</v>
      </c>
    </row>
    <row r="122" spans="1:17" x14ac:dyDescent="0.2">
      <c r="A122" s="2" t="s">
        <v>329</v>
      </c>
      <c r="B122" s="2" t="s">
        <v>30</v>
      </c>
      <c r="C122" s="3">
        <v>74</v>
      </c>
      <c r="D122" s="2" t="s">
        <v>19</v>
      </c>
      <c r="E122" s="2" t="s">
        <v>31</v>
      </c>
      <c r="F122" s="2" t="s">
        <v>99</v>
      </c>
      <c r="G122" s="2" t="s">
        <v>100</v>
      </c>
      <c r="H122" s="2" t="s">
        <v>34</v>
      </c>
      <c r="I122" s="2" t="s">
        <v>330</v>
      </c>
      <c r="J122" s="2" t="s">
        <v>104</v>
      </c>
      <c r="K122" s="2" t="s">
        <v>105</v>
      </c>
      <c r="L122" s="4">
        <v>7376.19</v>
      </c>
      <c r="M122" s="4">
        <v>4862.16</v>
      </c>
      <c r="N122" s="4">
        <v>139.33000000000001</v>
      </c>
      <c r="O122" s="4">
        <v>0</v>
      </c>
      <c r="P122" s="2" t="s">
        <v>55</v>
      </c>
      <c r="Q122" s="2" t="s">
        <v>28</v>
      </c>
    </row>
    <row r="123" spans="1:17" x14ac:dyDescent="0.2">
      <c r="A123" s="5" t="s">
        <v>331</v>
      </c>
      <c r="B123" s="5" t="s">
        <v>113</v>
      </c>
      <c r="C123" s="6">
        <v>46</v>
      </c>
      <c r="D123" s="5" t="s">
        <v>39</v>
      </c>
      <c r="E123" s="5" t="s">
        <v>31</v>
      </c>
      <c r="F123" s="5" t="s">
        <v>21</v>
      </c>
      <c r="G123" s="5" t="s">
        <v>22</v>
      </c>
      <c r="H123" s="5" t="s">
        <v>23</v>
      </c>
      <c r="I123" s="5" t="s">
        <v>301</v>
      </c>
      <c r="J123" s="5" t="s">
        <v>68</v>
      </c>
      <c r="K123" s="5" t="s">
        <v>69</v>
      </c>
      <c r="L123" s="7">
        <v>1269.9000000000001</v>
      </c>
      <c r="M123" s="7">
        <v>956.89</v>
      </c>
      <c r="N123" s="7">
        <v>56.94</v>
      </c>
      <c r="O123" s="7">
        <v>899.95</v>
      </c>
      <c r="P123" s="5" t="s">
        <v>27</v>
      </c>
      <c r="Q123" s="5" t="s">
        <v>28</v>
      </c>
    </row>
    <row r="124" spans="1:17" x14ac:dyDescent="0.2">
      <c r="A124" s="2" t="s">
        <v>332</v>
      </c>
      <c r="B124" s="2" t="s">
        <v>189</v>
      </c>
      <c r="C124" s="3">
        <v>60</v>
      </c>
      <c r="D124" s="2" t="s">
        <v>19</v>
      </c>
      <c r="E124" s="2" t="s">
        <v>31</v>
      </c>
      <c r="F124" s="2" t="s">
        <v>49</v>
      </c>
      <c r="G124" s="2" t="s">
        <v>50</v>
      </c>
      <c r="H124" s="2" t="s">
        <v>51</v>
      </c>
      <c r="I124" s="2" t="s">
        <v>333</v>
      </c>
      <c r="J124" s="2" t="s">
        <v>68</v>
      </c>
      <c r="K124" s="2" t="s">
        <v>69</v>
      </c>
      <c r="L124" s="4">
        <v>8426.99</v>
      </c>
      <c r="M124" s="4">
        <v>5625.75</v>
      </c>
      <c r="N124" s="4">
        <v>97.36</v>
      </c>
      <c r="O124" s="4">
        <v>5528.39</v>
      </c>
      <c r="P124" s="2" t="s">
        <v>46</v>
      </c>
      <c r="Q124" s="2" t="s">
        <v>47</v>
      </c>
    </row>
    <row r="125" spans="1:17" x14ac:dyDescent="0.2">
      <c r="A125" s="5" t="s">
        <v>334</v>
      </c>
      <c r="B125" s="5" t="s">
        <v>189</v>
      </c>
      <c r="C125" s="6">
        <v>36</v>
      </c>
      <c r="D125" s="5" t="s">
        <v>39</v>
      </c>
      <c r="E125" s="5" t="s">
        <v>40</v>
      </c>
      <c r="F125" s="5" t="s">
        <v>99</v>
      </c>
      <c r="G125" s="5" t="s">
        <v>100</v>
      </c>
      <c r="H125" s="5" t="s">
        <v>34</v>
      </c>
      <c r="I125" s="5" t="s">
        <v>335</v>
      </c>
      <c r="J125" s="5" t="s">
        <v>44</v>
      </c>
      <c r="K125" s="5" t="s">
        <v>45</v>
      </c>
      <c r="L125" s="7">
        <v>7805.39</v>
      </c>
      <c r="M125" s="7">
        <v>5284.42</v>
      </c>
      <c r="N125" s="7">
        <v>67.040000000000006</v>
      </c>
      <c r="O125" s="7">
        <v>5217.38</v>
      </c>
      <c r="P125" s="5" t="s">
        <v>46</v>
      </c>
      <c r="Q125" s="5" t="s">
        <v>47</v>
      </c>
    </row>
    <row r="126" spans="1:17" x14ac:dyDescent="0.2">
      <c r="A126" s="2" t="s">
        <v>336</v>
      </c>
      <c r="B126" s="2" t="s">
        <v>161</v>
      </c>
      <c r="C126" s="3">
        <v>59</v>
      </c>
      <c r="D126" s="2" t="s">
        <v>39</v>
      </c>
      <c r="E126" s="2" t="s">
        <v>31</v>
      </c>
      <c r="F126" s="2" t="s">
        <v>32</v>
      </c>
      <c r="G126" s="2" t="s">
        <v>33</v>
      </c>
      <c r="H126" s="2" t="s">
        <v>34</v>
      </c>
      <c r="I126" s="2" t="s">
        <v>337</v>
      </c>
      <c r="J126" s="2" t="s">
        <v>36</v>
      </c>
      <c r="K126" s="2" t="s">
        <v>37</v>
      </c>
      <c r="L126" s="4">
        <v>1986.1</v>
      </c>
      <c r="M126" s="4">
        <v>1268.5999999999999</v>
      </c>
      <c r="N126" s="4">
        <v>122.46</v>
      </c>
      <c r="O126" s="4">
        <v>1146.1400000000001</v>
      </c>
      <c r="P126" s="2" t="s">
        <v>27</v>
      </c>
      <c r="Q126" s="2" t="s">
        <v>28</v>
      </c>
    </row>
    <row r="127" spans="1:17" x14ac:dyDescent="0.2">
      <c r="A127" s="5" t="s">
        <v>338</v>
      </c>
      <c r="B127" s="5" t="s">
        <v>306</v>
      </c>
      <c r="C127" s="6">
        <v>53</v>
      </c>
      <c r="D127" s="5" t="s">
        <v>39</v>
      </c>
      <c r="E127" s="5" t="s">
        <v>40</v>
      </c>
      <c r="F127" s="5" t="s">
        <v>41</v>
      </c>
      <c r="G127" s="5" t="s">
        <v>42</v>
      </c>
      <c r="H127" s="5" t="s">
        <v>34</v>
      </c>
      <c r="I127" s="5" t="s">
        <v>339</v>
      </c>
      <c r="J127" s="5" t="s">
        <v>53</v>
      </c>
      <c r="K127" s="5" t="s">
        <v>54</v>
      </c>
      <c r="L127" s="7">
        <v>2072.63</v>
      </c>
      <c r="M127" s="7">
        <v>1656.87</v>
      </c>
      <c r="N127" s="7">
        <v>120.24</v>
      </c>
      <c r="O127" s="7">
        <v>1536.63</v>
      </c>
      <c r="P127" s="5" t="s">
        <v>46</v>
      </c>
      <c r="Q127" s="5" t="s">
        <v>28</v>
      </c>
    </row>
    <row r="128" spans="1:17" x14ac:dyDescent="0.2">
      <c r="A128" s="2" t="s">
        <v>340</v>
      </c>
      <c r="B128" s="2" t="s">
        <v>189</v>
      </c>
      <c r="C128" s="3">
        <v>75</v>
      </c>
      <c r="D128" s="2" t="s">
        <v>19</v>
      </c>
      <c r="E128" s="2" t="s">
        <v>20</v>
      </c>
      <c r="F128" s="2" t="s">
        <v>99</v>
      </c>
      <c r="G128" s="2" t="s">
        <v>100</v>
      </c>
      <c r="H128" s="2" t="s">
        <v>34</v>
      </c>
      <c r="I128" s="2" t="s">
        <v>341</v>
      </c>
      <c r="J128" s="2" t="s">
        <v>104</v>
      </c>
      <c r="K128" s="2" t="s">
        <v>105</v>
      </c>
      <c r="L128" s="4">
        <v>9065.84</v>
      </c>
      <c r="M128" s="4">
        <v>7117.95</v>
      </c>
      <c r="N128" s="4">
        <v>50.42</v>
      </c>
      <c r="O128" s="4">
        <v>7067.53</v>
      </c>
      <c r="P128" s="2" t="s">
        <v>46</v>
      </c>
      <c r="Q128" s="2" t="s">
        <v>47</v>
      </c>
    </row>
    <row r="129" spans="1:17" x14ac:dyDescent="0.2">
      <c r="A129" s="5" t="s">
        <v>342</v>
      </c>
      <c r="B129" s="5" t="s">
        <v>60</v>
      </c>
      <c r="C129" s="6">
        <v>33</v>
      </c>
      <c r="D129" s="5" t="s">
        <v>19</v>
      </c>
      <c r="E129" s="5" t="s">
        <v>20</v>
      </c>
      <c r="F129" s="5" t="s">
        <v>49</v>
      </c>
      <c r="G129" s="5" t="s">
        <v>50</v>
      </c>
      <c r="H129" s="5" t="s">
        <v>51</v>
      </c>
      <c r="I129" s="5" t="s">
        <v>343</v>
      </c>
      <c r="J129" s="5" t="s">
        <v>104</v>
      </c>
      <c r="K129" s="5" t="s">
        <v>105</v>
      </c>
      <c r="L129" s="7">
        <v>6109.44</v>
      </c>
      <c r="M129" s="7">
        <v>4127.53</v>
      </c>
      <c r="N129" s="7">
        <v>41.07</v>
      </c>
      <c r="O129" s="7">
        <v>4086.46</v>
      </c>
      <c r="P129" s="5" t="s">
        <v>46</v>
      </c>
      <c r="Q129" s="5" t="s">
        <v>47</v>
      </c>
    </row>
    <row r="130" spans="1:17" x14ac:dyDescent="0.2">
      <c r="A130" s="2" t="s">
        <v>344</v>
      </c>
      <c r="B130" s="2" t="s">
        <v>78</v>
      </c>
      <c r="C130" s="3">
        <v>35</v>
      </c>
      <c r="D130" s="2" t="s">
        <v>19</v>
      </c>
      <c r="E130" s="2" t="s">
        <v>40</v>
      </c>
      <c r="F130" s="2" t="s">
        <v>99</v>
      </c>
      <c r="G130" s="2" t="s">
        <v>100</v>
      </c>
      <c r="H130" s="2" t="s">
        <v>34</v>
      </c>
      <c r="I130" s="2" t="s">
        <v>292</v>
      </c>
      <c r="J130" s="2" t="s">
        <v>68</v>
      </c>
      <c r="K130" s="2" t="s">
        <v>69</v>
      </c>
      <c r="L130" s="4">
        <v>8580.1</v>
      </c>
      <c r="M130" s="4">
        <v>6047.02</v>
      </c>
      <c r="N130" s="4">
        <v>36.21</v>
      </c>
      <c r="O130" s="4">
        <v>6010.81</v>
      </c>
      <c r="P130" s="2" t="s">
        <v>46</v>
      </c>
      <c r="Q130" s="2" t="s">
        <v>28</v>
      </c>
    </row>
    <row r="131" spans="1:17" x14ac:dyDescent="0.2">
      <c r="A131" s="5" t="s">
        <v>345</v>
      </c>
      <c r="B131" s="5" t="s">
        <v>116</v>
      </c>
      <c r="C131" s="6">
        <v>50</v>
      </c>
      <c r="D131" s="5" t="s">
        <v>19</v>
      </c>
      <c r="E131" s="5" t="s">
        <v>20</v>
      </c>
      <c r="F131" s="5" t="s">
        <v>21</v>
      </c>
      <c r="G131" s="5" t="s">
        <v>22</v>
      </c>
      <c r="H131" s="5" t="s">
        <v>23</v>
      </c>
      <c r="I131" s="5" t="s">
        <v>346</v>
      </c>
      <c r="J131" s="5" t="s">
        <v>144</v>
      </c>
      <c r="K131" s="5" t="s">
        <v>145</v>
      </c>
      <c r="L131" s="7">
        <v>9827.93</v>
      </c>
      <c r="M131" s="7">
        <v>8013.59</v>
      </c>
      <c r="N131" s="7">
        <v>140.96</v>
      </c>
      <c r="O131" s="7">
        <v>0</v>
      </c>
      <c r="P131" s="5" t="s">
        <v>55</v>
      </c>
      <c r="Q131" s="5" t="s">
        <v>28</v>
      </c>
    </row>
    <row r="132" spans="1:17" x14ac:dyDescent="0.2">
      <c r="A132" s="2" t="s">
        <v>347</v>
      </c>
      <c r="B132" s="2" t="s">
        <v>113</v>
      </c>
      <c r="C132" s="3">
        <v>33</v>
      </c>
      <c r="D132" s="2" t="s">
        <v>39</v>
      </c>
      <c r="E132" s="2" t="s">
        <v>40</v>
      </c>
      <c r="F132" s="2" t="s">
        <v>32</v>
      </c>
      <c r="G132" s="2" t="s">
        <v>33</v>
      </c>
      <c r="H132" s="2" t="s">
        <v>34</v>
      </c>
      <c r="I132" s="2" t="s">
        <v>348</v>
      </c>
      <c r="J132" s="2" t="s">
        <v>68</v>
      </c>
      <c r="K132" s="2" t="s">
        <v>69</v>
      </c>
      <c r="L132" s="4">
        <v>3926.42</v>
      </c>
      <c r="M132" s="4">
        <v>2276.2399999999998</v>
      </c>
      <c r="N132" s="4">
        <v>112.91</v>
      </c>
      <c r="O132" s="4">
        <v>2163.33</v>
      </c>
      <c r="P132" s="2" t="s">
        <v>46</v>
      </c>
      <c r="Q132" s="2" t="s">
        <v>47</v>
      </c>
    </row>
    <row r="133" spans="1:17" x14ac:dyDescent="0.2">
      <c r="A133" s="5" t="s">
        <v>349</v>
      </c>
      <c r="B133" s="5" t="s">
        <v>113</v>
      </c>
      <c r="C133" s="6">
        <v>60</v>
      </c>
      <c r="D133" s="5" t="s">
        <v>19</v>
      </c>
      <c r="E133" s="5" t="s">
        <v>20</v>
      </c>
      <c r="F133" s="5" t="s">
        <v>41</v>
      </c>
      <c r="G133" s="5" t="s">
        <v>42</v>
      </c>
      <c r="H133" s="5" t="s">
        <v>34</v>
      </c>
      <c r="I133" s="5" t="s">
        <v>350</v>
      </c>
      <c r="J133" s="5" t="s">
        <v>44</v>
      </c>
      <c r="K133" s="5" t="s">
        <v>45</v>
      </c>
      <c r="L133" s="7">
        <v>7441.88</v>
      </c>
      <c r="M133" s="7">
        <v>6115.42</v>
      </c>
      <c r="N133" s="7">
        <v>22.47</v>
      </c>
      <c r="O133" s="7">
        <v>6092.95</v>
      </c>
      <c r="P133" s="5" t="s">
        <v>46</v>
      </c>
      <c r="Q133" s="5" t="s">
        <v>47</v>
      </c>
    </row>
    <row r="134" spans="1:17" x14ac:dyDescent="0.2">
      <c r="A134" s="2" t="s">
        <v>351</v>
      </c>
      <c r="B134" s="2" t="s">
        <v>85</v>
      </c>
      <c r="C134" s="3">
        <v>32</v>
      </c>
      <c r="D134" s="2" t="s">
        <v>19</v>
      </c>
      <c r="E134" s="2" t="s">
        <v>31</v>
      </c>
      <c r="F134" s="2" t="s">
        <v>49</v>
      </c>
      <c r="G134" s="2" t="s">
        <v>50</v>
      </c>
      <c r="H134" s="2" t="s">
        <v>51</v>
      </c>
      <c r="I134" s="2" t="s">
        <v>352</v>
      </c>
      <c r="J134" s="2" t="s">
        <v>36</v>
      </c>
      <c r="K134" s="2" t="s">
        <v>37</v>
      </c>
      <c r="L134" s="4">
        <v>715.83</v>
      </c>
      <c r="M134" s="4">
        <v>483.86</v>
      </c>
      <c r="N134" s="4">
        <v>123.21</v>
      </c>
      <c r="O134" s="4">
        <v>0</v>
      </c>
      <c r="P134" s="2" t="s">
        <v>55</v>
      </c>
      <c r="Q134" s="2" t="s">
        <v>28</v>
      </c>
    </row>
    <row r="135" spans="1:17" x14ac:dyDescent="0.2">
      <c r="A135" s="5" t="s">
        <v>353</v>
      </c>
      <c r="B135" s="5" t="s">
        <v>95</v>
      </c>
      <c r="C135" s="6">
        <v>61</v>
      </c>
      <c r="D135" s="5" t="s">
        <v>19</v>
      </c>
      <c r="E135" s="5" t="s">
        <v>20</v>
      </c>
      <c r="F135" s="5" t="s">
        <v>99</v>
      </c>
      <c r="G135" s="5" t="s">
        <v>100</v>
      </c>
      <c r="H135" s="5" t="s">
        <v>34</v>
      </c>
      <c r="I135" s="5" t="s">
        <v>354</v>
      </c>
      <c r="J135" s="5" t="s">
        <v>75</v>
      </c>
      <c r="K135" s="5" t="s">
        <v>76</v>
      </c>
      <c r="L135" s="7">
        <v>8664.75</v>
      </c>
      <c r="M135" s="7">
        <v>5522.75</v>
      </c>
      <c r="N135" s="7">
        <v>20.2</v>
      </c>
      <c r="O135" s="7">
        <v>5502.55</v>
      </c>
      <c r="P135" s="5" t="s">
        <v>46</v>
      </c>
      <c r="Q135" s="5" t="s">
        <v>28</v>
      </c>
    </row>
    <row r="136" spans="1:17" x14ac:dyDescent="0.2">
      <c r="A136" s="2" t="s">
        <v>355</v>
      </c>
      <c r="B136" s="2" t="s">
        <v>107</v>
      </c>
      <c r="C136" s="3">
        <v>26</v>
      </c>
      <c r="D136" s="2" t="s">
        <v>19</v>
      </c>
      <c r="E136" s="2" t="s">
        <v>40</v>
      </c>
      <c r="F136" s="2" t="s">
        <v>49</v>
      </c>
      <c r="G136" s="2" t="s">
        <v>50</v>
      </c>
      <c r="H136" s="2" t="s">
        <v>51</v>
      </c>
      <c r="I136" s="2" t="s">
        <v>311</v>
      </c>
      <c r="J136" s="2" t="s">
        <v>75</v>
      </c>
      <c r="K136" s="2" t="s">
        <v>76</v>
      </c>
      <c r="L136" s="4">
        <v>11447.83</v>
      </c>
      <c r="M136" s="4">
        <v>8164.87</v>
      </c>
      <c r="N136" s="4">
        <v>122.23</v>
      </c>
      <c r="O136" s="4">
        <v>8042.64</v>
      </c>
      <c r="P136" s="2" t="s">
        <v>27</v>
      </c>
      <c r="Q136" s="2" t="s">
        <v>47</v>
      </c>
    </row>
    <row r="137" spans="1:17" x14ac:dyDescent="0.2">
      <c r="A137" s="5" t="s">
        <v>356</v>
      </c>
      <c r="B137" s="5" t="s">
        <v>161</v>
      </c>
      <c r="C137" s="6">
        <v>62</v>
      </c>
      <c r="D137" s="5" t="s">
        <v>19</v>
      </c>
      <c r="E137" s="5" t="s">
        <v>20</v>
      </c>
      <c r="F137" s="5" t="s">
        <v>49</v>
      </c>
      <c r="G137" s="5" t="s">
        <v>50</v>
      </c>
      <c r="H137" s="5" t="s">
        <v>51</v>
      </c>
      <c r="I137" s="5" t="s">
        <v>114</v>
      </c>
      <c r="J137" s="5" t="s">
        <v>68</v>
      </c>
      <c r="K137" s="5" t="s">
        <v>69</v>
      </c>
      <c r="L137" s="7">
        <v>342.47</v>
      </c>
      <c r="M137" s="7">
        <v>269.37</v>
      </c>
      <c r="N137" s="7">
        <v>64.819999999999993</v>
      </c>
      <c r="O137" s="7">
        <v>204.55</v>
      </c>
      <c r="P137" s="5" t="s">
        <v>46</v>
      </c>
      <c r="Q137" s="5" t="s">
        <v>47</v>
      </c>
    </row>
    <row r="138" spans="1:17" x14ac:dyDescent="0.2">
      <c r="A138" s="2" t="s">
        <v>357</v>
      </c>
      <c r="B138" s="2" t="s">
        <v>170</v>
      </c>
      <c r="C138" s="3">
        <v>36</v>
      </c>
      <c r="D138" s="2" t="s">
        <v>39</v>
      </c>
      <c r="E138" s="2" t="s">
        <v>20</v>
      </c>
      <c r="F138" s="2" t="s">
        <v>49</v>
      </c>
      <c r="G138" s="2" t="s">
        <v>50</v>
      </c>
      <c r="H138" s="2" t="s">
        <v>51</v>
      </c>
      <c r="I138" s="2" t="s">
        <v>358</v>
      </c>
      <c r="J138" s="2" t="s">
        <v>75</v>
      </c>
      <c r="K138" s="2" t="s">
        <v>76</v>
      </c>
      <c r="L138" s="4">
        <v>2224.81</v>
      </c>
      <c r="M138" s="4">
        <v>1743.68</v>
      </c>
      <c r="N138" s="4">
        <v>80.400000000000006</v>
      </c>
      <c r="O138" s="4">
        <v>0</v>
      </c>
      <c r="P138" s="2" t="s">
        <v>55</v>
      </c>
      <c r="Q138" s="2" t="s">
        <v>47</v>
      </c>
    </row>
    <row r="139" spans="1:17" x14ac:dyDescent="0.2">
      <c r="A139" s="5" t="s">
        <v>359</v>
      </c>
      <c r="B139" s="5" t="s">
        <v>130</v>
      </c>
      <c r="C139" s="6">
        <v>50</v>
      </c>
      <c r="D139" s="5" t="s">
        <v>19</v>
      </c>
      <c r="E139" s="5" t="s">
        <v>40</v>
      </c>
      <c r="F139" s="5" t="s">
        <v>49</v>
      </c>
      <c r="G139" s="5" t="s">
        <v>50</v>
      </c>
      <c r="H139" s="5" t="s">
        <v>51</v>
      </c>
      <c r="I139" s="5" t="s">
        <v>220</v>
      </c>
      <c r="J139" s="5" t="s">
        <v>167</v>
      </c>
      <c r="K139" s="5" t="s">
        <v>168</v>
      </c>
      <c r="L139" s="7">
        <v>669.1</v>
      </c>
      <c r="M139" s="7">
        <v>408.04</v>
      </c>
      <c r="N139" s="7">
        <v>25.45</v>
      </c>
      <c r="O139" s="7">
        <v>382.59</v>
      </c>
      <c r="P139" s="5" t="s">
        <v>46</v>
      </c>
      <c r="Q139" s="5" t="s">
        <v>28</v>
      </c>
    </row>
    <row r="140" spans="1:17" x14ac:dyDescent="0.2">
      <c r="A140" s="2" t="s">
        <v>360</v>
      </c>
      <c r="B140" s="2" t="s">
        <v>71</v>
      </c>
      <c r="C140" s="3">
        <v>50</v>
      </c>
      <c r="D140" s="2" t="s">
        <v>19</v>
      </c>
      <c r="E140" s="2" t="s">
        <v>40</v>
      </c>
      <c r="F140" s="2" t="s">
        <v>49</v>
      </c>
      <c r="G140" s="2" t="s">
        <v>50</v>
      </c>
      <c r="H140" s="2" t="s">
        <v>51</v>
      </c>
      <c r="I140" s="2" t="s">
        <v>361</v>
      </c>
      <c r="J140" s="2" t="s">
        <v>87</v>
      </c>
      <c r="K140" s="2" t="s">
        <v>88</v>
      </c>
      <c r="L140" s="4">
        <v>10409.709999999999</v>
      </c>
      <c r="M140" s="4">
        <v>6761.91</v>
      </c>
      <c r="N140" s="4">
        <v>36.18</v>
      </c>
      <c r="O140" s="4">
        <v>6725.73</v>
      </c>
      <c r="P140" s="2" t="s">
        <v>46</v>
      </c>
      <c r="Q140" s="2" t="s">
        <v>28</v>
      </c>
    </row>
    <row r="141" spans="1:17" x14ac:dyDescent="0.2">
      <c r="A141" s="5" t="s">
        <v>362</v>
      </c>
      <c r="B141" s="5" t="s">
        <v>18</v>
      </c>
      <c r="C141" s="6">
        <v>52</v>
      </c>
      <c r="D141" s="5" t="s">
        <v>39</v>
      </c>
      <c r="E141" s="5" t="s">
        <v>31</v>
      </c>
      <c r="F141" s="5" t="s">
        <v>41</v>
      </c>
      <c r="G141" s="5" t="s">
        <v>42</v>
      </c>
      <c r="H141" s="5" t="s">
        <v>34</v>
      </c>
      <c r="I141" s="5" t="s">
        <v>363</v>
      </c>
      <c r="J141" s="5" t="s">
        <v>104</v>
      </c>
      <c r="K141" s="5" t="s">
        <v>105</v>
      </c>
      <c r="L141" s="7">
        <v>11103.08</v>
      </c>
      <c r="M141" s="7">
        <v>7836.36</v>
      </c>
      <c r="N141" s="7">
        <v>124.15</v>
      </c>
      <c r="O141" s="7">
        <v>0</v>
      </c>
      <c r="P141" s="5" t="s">
        <v>55</v>
      </c>
      <c r="Q141" s="5" t="s">
        <v>47</v>
      </c>
    </row>
    <row r="142" spans="1:17" x14ac:dyDescent="0.2">
      <c r="A142" s="2" t="s">
        <v>364</v>
      </c>
      <c r="B142" s="2" t="s">
        <v>110</v>
      </c>
      <c r="C142" s="3">
        <v>69</v>
      </c>
      <c r="D142" s="2" t="s">
        <v>19</v>
      </c>
      <c r="E142" s="2" t="s">
        <v>40</v>
      </c>
      <c r="F142" s="2" t="s">
        <v>21</v>
      </c>
      <c r="G142" s="2" t="s">
        <v>22</v>
      </c>
      <c r="H142" s="2" t="s">
        <v>23</v>
      </c>
      <c r="I142" s="2" t="s">
        <v>365</v>
      </c>
      <c r="J142" s="2" t="s">
        <v>25</v>
      </c>
      <c r="K142" s="2" t="s">
        <v>26</v>
      </c>
      <c r="L142" s="4">
        <v>7981.89</v>
      </c>
      <c r="M142" s="4">
        <v>5123.96</v>
      </c>
      <c r="N142" s="4">
        <v>98.34</v>
      </c>
      <c r="O142" s="4">
        <v>0</v>
      </c>
      <c r="P142" s="2" t="s">
        <v>55</v>
      </c>
      <c r="Q142" s="2" t="s">
        <v>28</v>
      </c>
    </row>
    <row r="143" spans="1:17" x14ac:dyDescent="0.2">
      <c r="A143" s="5" t="s">
        <v>366</v>
      </c>
      <c r="B143" s="5" t="s">
        <v>140</v>
      </c>
      <c r="C143" s="6">
        <v>65</v>
      </c>
      <c r="D143" s="5" t="s">
        <v>19</v>
      </c>
      <c r="E143" s="5" t="s">
        <v>40</v>
      </c>
      <c r="F143" s="5" t="s">
        <v>99</v>
      </c>
      <c r="G143" s="5" t="s">
        <v>100</v>
      </c>
      <c r="H143" s="5" t="s">
        <v>34</v>
      </c>
      <c r="I143" s="5" t="s">
        <v>242</v>
      </c>
      <c r="J143" s="5" t="s">
        <v>68</v>
      </c>
      <c r="K143" s="5" t="s">
        <v>69</v>
      </c>
      <c r="L143" s="7">
        <v>3403.48</v>
      </c>
      <c r="M143" s="7">
        <v>2872.56</v>
      </c>
      <c r="N143" s="7">
        <v>143.22999999999999</v>
      </c>
      <c r="O143" s="7">
        <v>2729.33</v>
      </c>
      <c r="P143" s="5" t="s">
        <v>46</v>
      </c>
      <c r="Q143" s="5" t="s">
        <v>28</v>
      </c>
    </row>
    <row r="144" spans="1:17" x14ac:dyDescent="0.2">
      <c r="A144" s="2" t="s">
        <v>367</v>
      </c>
      <c r="B144" s="2" t="s">
        <v>161</v>
      </c>
      <c r="C144" s="3">
        <v>66</v>
      </c>
      <c r="D144" s="2" t="s">
        <v>19</v>
      </c>
      <c r="E144" s="2" t="s">
        <v>40</v>
      </c>
      <c r="F144" s="2" t="s">
        <v>32</v>
      </c>
      <c r="G144" s="2" t="s">
        <v>33</v>
      </c>
      <c r="H144" s="2" t="s">
        <v>34</v>
      </c>
      <c r="I144" s="2" t="s">
        <v>216</v>
      </c>
      <c r="J144" s="2" t="s">
        <v>167</v>
      </c>
      <c r="K144" s="2" t="s">
        <v>168</v>
      </c>
      <c r="L144" s="4">
        <v>8185.35</v>
      </c>
      <c r="M144" s="4">
        <v>5577.92</v>
      </c>
      <c r="N144" s="4">
        <v>36.409999999999997</v>
      </c>
      <c r="O144" s="4">
        <v>5541.51</v>
      </c>
      <c r="P144" s="2" t="s">
        <v>46</v>
      </c>
      <c r="Q144" s="2" t="s">
        <v>28</v>
      </c>
    </row>
    <row r="145" spans="1:17" x14ac:dyDescent="0.2">
      <c r="A145" s="5" t="s">
        <v>368</v>
      </c>
      <c r="B145" s="5" t="s">
        <v>186</v>
      </c>
      <c r="C145" s="6">
        <v>33</v>
      </c>
      <c r="D145" s="5" t="s">
        <v>19</v>
      </c>
      <c r="E145" s="5" t="s">
        <v>40</v>
      </c>
      <c r="F145" s="5" t="s">
        <v>32</v>
      </c>
      <c r="G145" s="5" t="s">
        <v>33</v>
      </c>
      <c r="H145" s="5" t="s">
        <v>34</v>
      </c>
      <c r="I145" s="5" t="s">
        <v>294</v>
      </c>
      <c r="J145" s="5" t="s">
        <v>53</v>
      </c>
      <c r="K145" s="5" t="s">
        <v>54</v>
      </c>
      <c r="L145" s="7">
        <v>5481.58</v>
      </c>
      <c r="M145" s="7">
        <v>3624.91</v>
      </c>
      <c r="N145" s="7">
        <v>77.709999999999994</v>
      </c>
      <c r="O145" s="7">
        <v>3547.2</v>
      </c>
      <c r="P145" s="5" t="s">
        <v>46</v>
      </c>
      <c r="Q145" s="5" t="s">
        <v>47</v>
      </c>
    </row>
    <row r="146" spans="1:17" x14ac:dyDescent="0.2">
      <c r="A146" s="2" t="s">
        <v>369</v>
      </c>
      <c r="B146" s="2" t="s">
        <v>237</v>
      </c>
      <c r="C146" s="3">
        <v>41</v>
      </c>
      <c r="D146" s="2" t="s">
        <v>19</v>
      </c>
      <c r="E146" s="2" t="s">
        <v>31</v>
      </c>
      <c r="F146" s="2" t="s">
        <v>21</v>
      </c>
      <c r="G146" s="2" t="s">
        <v>22</v>
      </c>
      <c r="H146" s="2" t="s">
        <v>23</v>
      </c>
      <c r="I146" s="2" t="s">
        <v>370</v>
      </c>
      <c r="J146" s="2" t="s">
        <v>36</v>
      </c>
      <c r="K146" s="2" t="s">
        <v>37</v>
      </c>
      <c r="L146" s="4">
        <v>8867.75</v>
      </c>
      <c r="M146" s="4">
        <v>6204.88</v>
      </c>
      <c r="N146" s="4">
        <v>70.31</v>
      </c>
      <c r="O146" s="4">
        <v>6134.57</v>
      </c>
      <c r="P146" s="2" t="s">
        <v>27</v>
      </c>
      <c r="Q146" s="2" t="s">
        <v>28</v>
      </c>
    </row>
    <row r="147" spans="1:17" x14ac:dyDescent="0.2">
      <c r="A147" s="5" t="s">
        <v>371</v>
      </c>
      <c r="B147" s="5" t="s">
        <v>202</v>
      </c>
      <c r="C147" s="6">
        <v>36</v>
      </c>
      <c r="D147" s="5" t="s">
        <v>19</v>
      </c>
      <c r="E147" s="5" t="s">
        <v>20</v>
      </c>
      <c r="F147" s="5" t="s">
        <v>49</v>
      </c>
      <c r="G147" s="5" t="s">
        <v>50</v>
      </c>
      <c r="H147" s="5" t="s">
        <v>51</v>
      </c>
      <c r="I147" s="5" t="s">
        <v>372</v>
      </c>
      <c r="J147" s="5" t="s">
        <v>53</v>
      </c>
      <c r="K147" s="5" t="s">
        <v>54</v>
      </c>
      <c r="L147" s="7">
        <v>11010.28</v>
      </c>
      <c r="M147" s="7">
        <v>7678.13</v>
      </c>
      <c r="N147" s="7">
        <v>35.94</v>
      </c>
      <c r="O147" s="7">
        <v>7642.19</v>
      </c>
      <c r="P147" s="5" t="s">
        <v>46</v>
      </c>
      <c r="Q147" s="5" t="s">
        <v>47</v>
      </c>
    </row>
    <row r="148" spans="1:17" x14ac:dyDescent="0.2">
      <c r="A148" s="2" t="s">
        <v>373</v>
      </c>
      <c r="B148" s="2" t="s">
        <v>151</v>
      </c>
      <c r="C148" s="3">
        <v>57</v>
      </c>
      <c r="D148" s="2" t="s">
        <v>39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374</v>
      </c>
      <c r="J148" s="2" t="s">
        <v>68</v>
      </c>
      <c r="K148" s="2" t="s">
        <v>69</v>
      </c>
      <c r="L148" s="4">
        <v>6574.73</v>
      </c>
      <c r="M148" s="4">
        <v>5374.18</v>
      </c>
      <c r="N148" s="4">
        <v>130.68</v>
      </c>
      <c r="O148" s="4">
        <v>5243.5</v>
      </c>
      <c r="P148" s="2" t="s">
        <v>46</v>
      </c>
      <c r="Q148" s="2" t="s">
        <v>28</v>
      </c>
    </row>
    <row r="149" spans="1:17" x14ac:dyDescent="0.2">
      <c r="A149" s="5" t="s">
        <v>375</v>
      </c>
      <c r="B149" s="5" t="s">
        <v>127</v>
      </c>
      <c r="C149" s="6">
        <v>64</v>
      </c>
      <c r="D149" s="5" t="s">
        <v>39</v>
      </c>
      <c r="E149" s="5" t="s">
        <v>20</v>
      </c>
      <c r="F149" s="5" t="s">
        <v>41</v>
      </c>
      <c r="G149" s="5" t="s">
        <v>42</v>
      </c>
      <c r="H149" s="5" t="s">
        <v>34</v>
      </c>
      <c r="I149" s="5" t="s">
        <v>81</v>
      </c>
      <c r="J149" s="5" t="s">
        <v>36</v>
      </c>
      <c r="K149" s="5" t="s">
        <v>37</v>
      </c>
      <c r="L149" s="7">
        <v>4426.62</v>
      </c>
      <c r="M149" s="7">
        <v>3194.62</v>
      </c>
      <c r="N149" s="7">
        <v>80.760000000000005</v>
      </c>
      <c r="O149" s="7">
        <v>3113.86</v>
      </c>
      <c r="P149" s="5" t="s">
        <v>27</v>
      </c>
      <c r="Q149" s="5" t="s">
        <v>47</v>
      </c>
    </row>
    <row r="150" spans="1:17" x14ac:dyDescent="0.2">
      <c r="A150" s="2" t="s">
        <v>376</v>
      </c>
      <c r="B150" s="2" t="s">
        <v>275</v>
      </c>
      <c r="C150" s="3">
        <v>29</v>
      </c>
      <c r="D150" s="2" t="s">
        <v>19</v>
      </c>
      <c r="E150" s="2" t="s">
        <v>40</v>
      </c>
      <c r="F150" s="2" t="s">
        <v>99</v>
      </c>
      <c r="G150" s="2" t="s">
        <v>100</v>
      </c>
      <c r="H150" s="2" t="s">
        <v>34</v>
      </c>
      <c r="I150" s="2" t="s">
        <v>377</v>
      </c>
      <c r="J150" s="2" t="s">
        <v>104</v>
      </c>
      <c r="K150" s="2" t="s">
        <v>105</v>
      </c>
      <c r="L150" s="4">
        <v>9264.6</v>
      </c>
      <c r="M150" s="4">
        <v>7383.9</v>
      </c>
      <c r="N150" s="4">
        <v>29.59</v>
      </c>
      <c r="O150" s="4">
        <v>7354.31</v>
      </c>
      <c r="P150" s="2" t="s">
        <v>46</v>
      </c>
      <c r="Q150" s="2" t="s">
        <v>47</v>
      </c>
    </row>
    <row r="151" spans="1:17" x14ac:dyDescent="0.2">
      <c r="A151" s="5" t="s">
        <v>378</v>
      </c>
      <c r="B151" s="5" t="s">
        <v>116</v>
      </c>
      <c r="C151" s="6">
        <v>32</v>
      </c>
      <c r="D151" s="5" t="s">
        <v>39</v>
      </c>
      <c r="E151" s="5" t="s">
        <v>40</v>
      </c>
      <c r="F151" s="5" t="s">
        <v>99</v>
      </c>
      <c r="G151" s="5" t="s">
        <v>100</v>
      </c>
      <c r="H151" s="5" t="s">
        <v>34</v>
      </c>
      <c r="I151" s="5" t="s">
        <v>379</v>
      </c>
      <c r="J151" s="5" t="s">
        <v>44</v>
      </c>
      <c r="K151" s="5" t="s">
        <v>45</v>
      </c>
      <c r="L151" s="7">
        <v>7115.26</v>
      </c>
      <c r="M151" s="7">
        <v>5552.28</v>
      </c>
      <c r="N151" s="7">
        <v>36.770000000000003</v>
      </c>
      <c r="O151" s="7">
        <v>5515.51</v>
      </c>
      <c r="P151" s="5" t="s">
        <v>27</v>
      </c>
      <c r="Q151" s="5" t="s">
        <v>28</v>
      </c>
    </row>
    <row r="152" spans="1:17" x14ac:dyDescent="0.2">
      <c r="A152" s="2" t="s">
        <v>380</v>
      </c>
      <c r="B152" s="2" t="s">
        <v>285</v>
      </c>
      <c r="C152" s="3">
        <v>37</v>
      </c>
      <c r="D152" s="2" t="s">
        <v>19</v>
      </c>
      <c r="E152" s="2" t="s">
        <v>20</v>
      </c>
      <c r="F152" s="2" t="s">
        <v>32</v>
      </c>
      <c r="G152" s="2" t="s">
        <v>33</v>
      </c>
      <c r="H152" s="2" t="s">
        <v>34</v>
      </c>
      <c r="I152" s="2" t="s">
        <v>381</v>
      </c>
      <c r="J152" s="2" t="s">
        <v>68</v>
      </c>
      <c r="K152" s="2" t="s">
        <v>69</v>
      </c>
      <c r="L152" s="4">
        <v>11377.68</v>
      </c>
      <c r="M152" s="4">
        <v>8028.88</v>
      </c>
      <c r="N152" s="4">
        <v>56.93</v>
      </c>
      <c r="O152" s="4">
        <v>7971.95</v>
      </c>
      <c r="P152" s="2" t="s">
        <v>46</v>
      </c>
      <c r="Q152" s="2" t="s">
        <v>47</v>
      </c>
    </row>
    <row r="153" spans="1:17" x14ac:dyDescent="0.2">
      <c r="A153" s="5" t="s">
        <v>382</v>
      </c>
      <c r="B153" s="5" t="s">
        <v>110</v>
      </c>
      <c r="C153" s="6">
        <v>67</v>
      </c>
      <c r="D153" s="5" t="s">
        <v>19</v>
      </c>
      <c r="E153" s="5" t="s">
        <v>31</v>
      </c>
      <c r="F153" s="5" t="s">
        <v>99</v>
      </c>
      <c r="G153" s="5" t="s">
        <v>100</v>
      </c>
      <c r="H153" s="5" t="s">
        <v>34</v>
      </c>
      <c r="I153" s="5" t="s">
        <v>311</v>
      </c>
      <c r="J153" s="5" t="s">
        <v>53</v>
      </c>
      <c r="K153" s="5" t="s">
        <v>54</v>
      </c>
      <c r="L153" s="7">
        <v>6105.49</v>
      </c>
      <c r="M153" s="7">
        <v>3666.9</v>
      </c>
      <c r="N153" s="7">
        <v>142.41</v>
      </c>
      <c r="O153" s="7">
        <v>3524.49</v>
      </c>
      <c r="P153" s="5" t="s">
        <v>46</v>
      </c>
      <c r="Q153" s="5" t="s">
        <v>28</v>
      </c>
    </row>
    <row r="154" spans="1:17" x14ac:dyDescent="0.2">
      <c r="A154" s="2" t="s">
        <v>383</v>
      </c>
      <c r="B154" s="2" t="s">
        <v>30</v>
      </c>
      <c r="C154" s="3">
        <v>64</v>
      </c>
      <c r="D154" s="2" t="s">
        <v>39</v>
      </c>
      <c r="E154" s="2" t="s">
        <v>40</v>
      </c>
      <c r="F154" s="2" t="s">
        <v>21</v>
      </c>
      <c r="G154" s="2" t="s">
        <v>22</v>
      </c>
      <c r="H154" s="2" t="s">
        <v>23</v>
      </c>
      <c r="I154" s="2" t="s">
        <v>384</v>
      </c>
      <c r="J154" s="2" t="s">
        <v>25</v>
      </c>
      <c r="K154" s="2" t="s">
        <v>26</v>
      </c>
      <c r="L154" s="4">
        <v>9286.6200000000008</v>
      </c>
      <c r="M154" s="4">
        <v>5844.97</v>
      </c>
      <c r="N154" s="4">
        <v>47.41</v>
      </c>
      <c r="O154" s="4">
        <v>5797.56</v>
      </c>
      <c r="P154" s="2" t="s">
        <v>27</v>
      </c>
      <c r="Q154" s="2" t="s">
        <v>47</v>
      </c>
    </row>
    <row r="155" spans="1:17" x14ac:dyDescent="0.2">
      <c r="A155" s="5" t="s">
        <v>385</v>
      </c>
      <c r="B155" s="5" t="s">
        <v>200</v>
      </c>
      <c r="C155" s="6">
        <v>28</v>
      </c>
      <c r="D155" s="5" t="s">
        <v>39</v>
      </c>
      <c r="E155" s="5" t="s">
        <v>40</v>
      </c>
      <c r="F155" s="5" t="s">
        <v>41</v>
      </c>
      <c r="G155" s="5" t="s">
        <v>42</v>
      </c>
      <c r="H155" s="5" t="s">
        <v>34</v>
      </c>
      <c r="I155" s="5" t="s">
        <v>386</v>
      </c>
      <c r="J155" s="5" t="s">
        <v>87</v>
      </c>
      <c r="K155" s="5" t="s">
        <v>88</v>
      </c>
      <c r="L155" s="7">
        <v>9685.5499999999993</v>
      </c>
      <c r="M155" s="7">
        <v>7317.41</v>
      </c>
      <c r="N155" s="7">
        <v>58.67</v>
      </c>
      <c r="O155" s="7">
        <v>7258.74</v>
      </c>
      <c r="P155" s="5" t="s">
        <v>46</v>
      </c>
      <c r="Q155" s="5" t="s">
        <v>47</v>
      </c>
    </row>
    <row r="156" spans="1:17" x14ac:dyDescent="0.2">
      <c r="A156" s="2" t="s">
        <v>387</v>
      </c>
      <c r="B156" s="2" t="s">
        <v>213</v>
      </c>
      <c r="C156" s="3">
        <v>33</v>
      </c>
      <c r="D156" s="2" t="s">
        <v>19</v>
      </c>
      <c r="E156" s="2" t="s">
        <v>31</v>
      </c>
      <c r="F156" s="2" t="s">
        <v>32</v>
      </c>
      <c r="G156" s="2" t="s">
        <v>33</v>
      </c>
      <c r="H156" s="2" t="s">
        <v>34</v>
      </c>
      <c r="I156" s="2" t="s">
        <v>388</v>
      </c>
      <c r="J156" s="2" t="s">
        <v>104</v>
      </c>
      <c r="K156" s="2" t="s">
        <v>105</v>
      </c>
      <c r="L156" s="4">
        <v>7338.92</v>
      </c>
      <c r="M156" s="4">
        <v>4724.6099999999997</v>
      </c>
      <c r="N156" s="4">
        <v>113.39</v>
      </c>
      <c r="O156" s="4">
        <v>4611.22</v>
      </c>
      <c r="P156" s="2" t="s">
        <v>46</v>
      </c>
      <c r="Q156" s="2" t="s">
        <v>28</v>
      </c>
    </row>
    <row r="157" spans="1:17" x14ac:dyDescent="0.2">
      <c r="A157" s="5" t="s">
        <v>389</v>
      </c>
      <c r="B157" s="5" t="s">
        <v>158</v>
      </c>
      <c r="C157" s="6">
        <v>49</v>
      </c>
      <c r="D157" s="5" t="s">
        <v>19</v>
      </c>
      <c r="E157" s="5" t="s">
        <v>20</v>
      </c>
      <c r="F157" s="5" t="s">
        <v>32</v>
      </c>
      <c r="G157" s="5" t="s">
        <v>33</v>
      </c>
      <c r="H157" s="5" t="s">
        <v>34</v>
      </c>
      <c r="I157" s="5" t="s">
        <v>280</v>
      </c>
      <c r="J157" s="5" t="s">
        <v>68</v>
      </c>
      <c r="K157" s="5" t="s">
        <v>69</v>
      </c>
      <c r="L157" s="7">
        <v>1601.88</v>
      </c>
      <c r="M157" s="7">
        <v>1097.0899999999999</v>
      </c>
      <c r="N157" s="7">
        <v>38.31</v>
      </c>
      <c r="O157" s="7">
        <v>1058.78</v>
      </c>
      <c r="P157" s="5" t="s">
        <v>46</v>
      </c>
      <c r="Q157" s="5" t="s">
        <v>28</v>
      </c>
    </row>
    <row r="158" spans="1:17" x14ac:dyDescent="0.2">
      <c r="A158" s="2" t="s">
        <v>390</v>
      </c>
      <c r="B158" s="2" t="s">
        <v>122</v>
      </c>
      <c r="C158" s="3">
        <v>56</v>
      </c>
      <c r="D158" s="2" t="s">
        <v>19</v>
      </c>
      <c r="E158" s="2" t="s">
        <v>40</v>
      </c>
      <c r="F158" s="2" t="s">
        <v>99</v>
      </c>
      <c r="G158" s="2" t="s">
        <v>100</v>
      </c>
      <c r="H158" s="2" t="s">
        <v>34</v>
      </c>
      <c r="I158" s="2" t="s">
        <v>24</v>
      </c>
      <c r="J158" s="2" t="s">
        <v>68</v>
      </c>
      <c r="K158" s="2" t="s">
        <v>69</v>
      </c>
      <c r="L158" s="4">
        <v>3855.67</v>
      </c>
      <c r="M158" s="4">
        <v>3003.32</v>
      </c>
      <c r="N158" s="4">
        <v>84.77</v>
      </c>
      <c r="O158" s="4">
        <v>2918.55</v>
      </c>
      <c r="P158" s="2" t="s">
        <v>27</v>
      </c>
      <c r="Q158" s="2" t="s">
        <v>28</v>
      </c>
    </row>
    <row r="159" spans="1:17" x14ac:dyDescent="0.2">
      <c r="A159" s="5" t="s">
        <v>391</v>
      </c>
      <c r="B159" s="5" t="s">
        <v>158</v>
      </c>
      <c r="C159" s="6">
        <v>56</v>
      </c>
      <c r="D159" s="5" t="s">
        <v>19</v>
      </c>
      <c r="E159" s="5" t="s">
        <v>40</v>
      </c>
      <c r="F159" s="5" t="s">
        <v>99</v>
      </c>
      <c r="G159" s="5" t="s">
        <v>100</v>
      </c>
      <c r="H159" s="5" t="s">
        <v>34</v>
      </c>
      <c r="I159" s="5" t="s">
        <v>392</v>
      </c>
      <c r="J159" s="5" t="s">
        <v>144</v>
      </c>
      <c r="K159" s="5" t="s">
        <v>145</v>
      </c>
      <c r="L159" s="7">
        <v>11605.24</v>
      </c>
      <c r="M159" s="7">
        <v>7131.92</v>
      </c>
      <c r="N159" s="7">
        <v>65.88</v>
      </c>
      <c r="O159" s="7">
        <v>7066.04</v>
      </c>
      <c r="P159" s="5" t="s">
        <v>46</v>
      </c>
      <c r="Q159" s="5" t="s">
        <v>28</v>
      </c>
    </row>
    <row r="160" spans="1:17" x14ac:dyDescent="0.2">
      <c r="A160" s="2" t="s">
        <v>393</v>
      </c>
      <c r="B160" s="2" t="s">
        <v>232</v>
      </c>
      <c r="C160" s="3">
        <v>50</v>
      </c>
      <c r="D160" s="2" t="s">
        <v>39</v>
      </c>
      <c r="E160" s="2" t="s">
        <v>31</v>
      </c>
      <c r="F160" s="2" t="s">
        <v>41</v>
      </c>
      <c r="G160" s="2" t="s">
        <v>42</v>
      </c>
      <c r="H160" s="2" t="s">
        <v>34</v>
      </c>
      <c r="I160" s="2" t="s">
        <v>108</v>
      </c>
      <c r="J160" s="2" t="s">
        <v>25</v>
      </c>
      <c r="K160" s="2" t="s">
        <v>26</v>
      </c>
      <c r="L160" s="4">
        <v>10607.1</v>
      </c>
      <c r="M160" s="4">
        <v>8148.93</v>
      </c>
      <c r="N160" s="4">
        <v>119.3</v>
      </c>
      <c r="O160" s="4">
        <v>8029.63</v>
      </c>
      <c r="P160" s="2" t="s">
        <v>46</v>
      </c>
      <c r="Q160" s="2" t="s">
        <v>28</v>
      </c>
    </row>
    <row r="161" spans="1:17" x14ac:dyDescent="0.2">
      <c r="A161" s="5" t="s">
        <v>394</v>
      </c>
      <c r="B161" s="5" t="s">
        <v>119</v>
      </c>
      <c r="C161" s="6">
        <v>68</v>
      </c>
      <c r="D161" s="5" t="s">
        <v>39</v>
      </c>
      <c r="E161" s="5" t="s">
        <v>20</v>
      </c>
      <c r="F161" s="5" t="s">
        <v>99</v>
      </c>
      <c r="G161" s="5" t="s">
        <v>100</v>
      </c>
      <c r="H161" s="5" t="s">
        <v>34</v>
      </c>
      <c r="I161" s="5" t="s">
        <v>395</v>
      </c>
      <c r="J161" s="5" t="s">
        <v>68</v>
      </c>
      <c r="K161" s="5" t="s">
        <v>69</v>
      </c>
      <c r="L161" s="7">
        <v>1021.35</v>
      </c>
      <c r="M161" s="7">
        <v>716.25</v>
      </c>
      <c r="N161" s="7">
        <v>119.37</v>
      </c>
      <c r="O161" s="7">
        <v>596.88</v>
      </c>
      <c r="P161" s="5" t="s">
        <v>46</v>
      </c>
      <c r="Q161" s="5" t="s">
        <v>47</v>
      </c>
    </row>
    <row r="162" spans="1:17" x14ac:dyDescent="0.2">
      <c r="A162" s="2" t="s">
        <v>396</v>
      </c>
      <c r="B162" s="2" t="s">
        <v>213</v>
      </c>
      <c r="C162" s="3">
        <v>57</v>
      </c>
      <c r="D162" s="2" t="s">
        <v>39</v>
      </c>
      <c r="E162" s="2" t="s">
        <v>20</v>
      </c>
      <c r="F162" s="2" t="s">
        <v>49</v>
      </c>
      <c r="G162" s="2" t="s">
        <v>50</v>
      </c>
      <c r="H162" s="2" t="s">
        <v>51</v>
      </c>
      <c r="I162" s="2" t="s">
        <v>397</v>
      </c>
      <c r="J162" s="2" t="s">
        <v>68</v>
      </c>
      <c r="K162" s="2" t="s">
        <v>69</v>
      </c>
      <c r="L162" s="4">
        <v>11276.54</v>
      </c>
      <c r="M162" s="4">
        <v>8756.1200000000008</v>
      </c>
      <c r="N162" s="4">
        <v>45.88</v>
      </c>
      <c r="O162" s="4">
        <v>8710.24</v>
      </c>
      <c r="P162" s="2" t="s">
        <v>27</v>
      </c>
      <c r="Q162" s="2" t="s">
        <v>28</v>
      </c>
    </row>
    <row r="163" spans="1:17" x14ac:dyDescent="0.2">
      <c r="A163" s="5" t="s">
        <v>398</v>
      </c>
      <c r="B163" s="5" t="s">
        <v>119</v>
      </c>
      <c r="C163" s="6">
        <v>45</v>
      </c>
      <c r="D163" s="5" t="s">
        <v>39</v>
      </c>
      <c r="E163" s="5" t="s">
        <v>40</v>
      </c>
      <c r="F163" s="5" t="s">
        <v>41</v>
      </c>
      <c r="G163" s="5" t="s">
        <v>42</v>
      </c>
      <c r="H163" s="5" t="s">
        <v>34</v>
      </c>
      <c r="I163" s="5" t="s">
        <v>330</v>
      </c>
      <c r="J163" s="5" t="s">
        <v>68</v>
      </c>
      <c r="K163" s="5" t="s">
        <v>69</v>
      </c>
      <c r="L163" s="7">
        <v>5565.31</v>
      </c>
      <c r="M163" s="7">
        <v>4073.13</v>
      </c>
      <c r="N163" s="7">
        <v>87.02</v>
      </c>
      <c r="O163" s="7">
        <v>3986.11</v>
      </c>
      <c r="P163" s="5" t="s">
        <v>46</v>
      </c>
      <c r="Q163" s="5" t="s">
        <v>47</v>
      </c>
    </row>
    <row r="164" spans="1:17" x14ac:dyDescent="0.2">
      <c r="A164" s="2" t="s">
        <v>399</v>
      </c>
      <c r="B164" s="2" t="s">
        <v>321</v>
      </c>
      <c r="C164" s="3">
        <v>26</v>
      </c>
      <c r="D164" s="2" t="s">
        <v>19</v>
      </c>
      <c r="E164" s="2" t="s">
        <v>40</v>
      </c>
      <c r="F164" s="2" t="s">
        <v>49</v>
      </c>
      <c r="G164" s="2" t="s">
        <v>50</v>
      </c>
      <c r="H164" s="2" t="s">
        <v>51</v>
      </c>
      <c r="I164" s="2" t="s">
        <v>154</v>
      </c>
      <c r="J164" s="2" t="s">
        <v>53</v>
      </c>
      <c r="K164" s="2" t="s">
        <v>54</v>
      </c>
      <c r="L164" s="4">
        <v>9965.23</v>
      </c>
      <c r="M164" s="4">
        <v>7072.34</v>
      </c>
      <c r="N164" s="4">
        <v>112.14</v>
      </c>
      <c r="O164" s="4">
        <v>6960.2</v>
      </c>
      <c r="P164" s="2" t="s">
        <v>46</v>
      </c>
      <c r="Q164" s="2" t="s">
        <v>28</v>
      </c>
    </row>
    <row r="165" spans="1:17" x14ac:dyDescent="0.2">
      <c r="A165" s="5" t="s">
        <v>400</v>
      </c>
      <c r="B165" s="5" t="s">
        <v>60</v>
      </c>
      <c r="C165" s="6">
        <v>55</v>
      </c>
      <c r="D165" s="5" t="s">
        <v>19</v>
      </c>
      <c r="E165" s="5" t="s">
        <v>31</v>
      </c>
      <c r="F165" s="5" t="s">
        <v>99</v>
      </c>
      <c r="G165" s="5" t="s">
        <v>100</v>
      </c>
      <c r="H165" s="5" t="s">
        <v>34</v>
      </c>
      <c r="I165" s="5" t="s">
        <v>401</v>
      </c>
      <c r="J165" s="5" t="s">
        <v>144</v>
      </c>
      <c r="K165" s="5" t="s">
        <v>145</v>
      </c>
      <c r="L165" s="7">
        <v>9591.5400000000009</v>
      </c>
      <c r="M165" s="7">
        <v>7362.44</v>
      </c>
      <c r="N165" s="7">
        <v>109.45</v>
      </c>
      <c r="O165" s="7">
        <v>7252.99</v>
      </c>
      <c r="P165" s="5" t="s">
        <v>46</v>
      </c>
      <c r="Q165" s="5" t="s">
        <v>28</v>
      </c>
    </row>
    <row r="166" spans="1:17" x14ac:dyDescent="0.2">
      <c r="A166" s="2" t="s">
        <v>402</v>
      </c>
      <c r="B166" s="2" t="s">
        <v>113</v>
      </c>
      <c r="C166" s="3">
        <v>68</v>
      </c>
      <c r="D166" s="2" t="s">
        <v>39</v>
      </c>
      <c r="E166" s="2" t="s">
        <v>20</v>
      </c>
      <c r="F166" s="2" t="s">
        <v>99</v>
      </c>
      <c r="G166" s="2" t="s">
        <v>100</v>
      </c>
      <c r="H166" s="2" t="s">
        <v>34</v>
      </c>
      <c r="I166" s="2" t="s">
        <v>403</v>
      </c>
      <c r="J166" s="2" t="s">
        <v>167</v>
      </c>
      <c r="K166" s="2" t="s">
        <v>168</v>
      </c>
      <c r="L166" s="4">
        <v>2170.5700000000002</v>
      </c>
      <c r="M166" s="4">
        <v>1603.42</v>
      </c>
      <c r="N166" s="4">
        <v>100.57</v>
      </c>
      <c r="O166" s="4">
        <v>0</v>
      </c>
      <c r="P166" s="2" t="s">
        <v>55</v>
      </c>
      <c r="Q166" s="2" t="s">
        <v>28</v>
      </c>
    </row>
    <row r="167" spans="1:17" x14ac:dyDescent="0.2">
      <c r="A167" s="5" t="s">
        <v>404</v>
      </c>
      <c r="B167" s="5" t="s">
        <v>130</v>
      </c>
      <c r="C167" s="6">
        <v>74</v>
      </c>
      <c r="D167" s="5" t="s">
        <v>19</v>
      </c>
      <c r="E167" s="5" t="s">
        <v>31</v>
      </c>
      <c r="F167" s="5" t="s">
        <v>21</v>
      </c>
      <c r="G167" s="5" t="s">
        <v>22</v>
      </c>
      <c r="H167" s="5" t="s">
        <v>23</v>
      </c>
      <c r="I167" s="5" t="s">
        <v>405</v>
      </c>
      <c r="J167" s="5" t="s">
        <v>36</v>
      </c>
      <c r="K167" s="5" t="s">
        <v>37</v>
      </c>
      <c r="L167" s="7">
        <v>3867.26</v>
      </c>
      <c r="M167" s="7">
        <v>2302.6799999999998</v>
      </c>
      <c r="N167" s="7">
        <v>109.77</v>
      </c>
      <c r="O167" s="7">
        <v>0</v>
      </c>
      <c r="P167" s="5" t="s">
        <v>55</v>
      </c>
      <c r="Q167" s="5" t="s">
        <v>28</v>
      </c>
    </row>
    <row r="168" spans="1:17" x14ac:dyDescent="0.2">
      <c r="A168" s="2" t="s">
        <v>406</v>
      </c>
      <c r="B168" s="2" t="s">
        <v>266</v>
      </c>
      <c r="C168" s="3">
        <v>36</v>
      </c>
      <c r="D168" s="2" t="s">
        <v>19</v>
      </c>
      <c r="E168" s="2" t="s">
        <v>31</v>
      </c>
      <c r="F168" s="2" t="s">
        <v>99</v>
      </c>
      <c r="G168" s="2" t="s">
        <v>100</v>
      </c>
      <c r="H168" s="2" t="s">
        <v>34</v>
      </c>
      <c r="I168" s="2" t="s">
        <v>407</v>
      </c>
      <c r="J168" s="2" t="s">
        <v>44</v>
      </c>
      <c r="K168" s="2" t="s">
        <v>45</v>
      </c>
      <c r="L168" s="4">
        <v>6796.51</v>
      </c>
      <c r="M168" s="4">
        <v>5773.21</v>
      </c>
      <c r="N168" s="4">
        <v>82.19</v>
      </c>
      <c r="O168" s="4">
        <v>0</v>
      </c>
      <c r="P168" s="2" t="s">
        <v>55</v>
      </c>
      <c r="Q168" s="2" t="s">
        <v>47</v>
      </c>
    </row>
    <row r="169" spans="1:17" x14ac:dyDescent="0.2">
      <c r="A169" s="5" t="s">
        <v>408</v>
      </c>
      <c r="B169" s="5" t="s">
        <v>189</v>
      </c>
      <c r="C169" s="6">
        <v>74</v>
      </c>
      <c r="D169" s="5" t="s">
        <v>19</v>
      </c>
      <c r="E169" s="5" t="s">
        <v>31</v>
      </c>
      <c r="F169" s="5" t="s">
        <v>99</v>
      </c>
      <c r="G169" s="5" t="s">
        <v>100</v>
      </c>
      <c r="H169" s="5" t="s">
        <v>34</v>
      </c>
      <c r="I169" s="5" t="s">
        <v>143</v>
      </c>
      <c r="J169" s="5" t="s">
        <v>87</v>
      </c>
      <c r="K169" s="5" t="s">
        <v>88</v>
      </c>
      <c r="L169" s="7">
        <v>2428.33</v>
      </c>
      <c r="M169" s="7">
        <v>1515.17</v>
      </c>
      <c r="N169" s="7">
        <v>92.55</v>
      </c>
      <c r="O169" s="7">
        <v>1422.62</v>
      </c>
      <c r="P169" s="5" t="s">
        <v>46</v>
      </c>
      <c r="Q169" s="5" t="s">
        <v>47</v>
      </c>
    </row>
    <row r="170" spans="1:17" x14ac:dyDescent="0.2">
      <c r="A170" s="2" t="s">
        <v>409</v>
      </c>
      <c r="B170" s="2" t="s">
        <v>237</v>
      </c>
      <c r="C170" s="3">
        <v>61</v>
      </c>
      <c r="D170" s="2" t="s">
        <v>19</v>
      </c>
      <c r="E170" s="2" t="s">
        <v>40</v>
      </c>
      <c r="F170" s="2" t="s">
        <v>41</v>
      </c>
      <c r="G170" s="2" t="s">
        <v>42</v>
      </c>
      <c r="H170" s="2" t="s">
        <v>34</v>
      </c>
      <c r="I170" s="2" t="s">
        <v>410</v>
      </c>
      <c r="J170" s="2" t="s">
        <v>68</v>
      </c>
      <c r="K170" s="2" t="s">
        <v>69</v>
      </c>
      <c r="L170" s="4">
        <v>6791.78</v>
      </c>
      <c r="M170" s="4">
        <v>5639.52</v>
      </c>
      <c r="N170" s="4">
        <v>113.82</v>
      </c>
      <c r="O170" s="4">
        <v>5525.7</v>
      </c>
      <c r="P170" s="2" t="s">
        <v>46</v>
      </c>
      <c r="Q170" s="2" t="s">
        <v>47</v>
      </c>
    </row>
    <row r="171" spans="1:17" x14ac:dyDescent="0.2">
      <c r="A171" s="5" t="s">
        <v>411</v>
      </c>
      <c r="B171" s="5" t="s">
        <v>275</v>
      </c>
      <c r="C171" s="6">
        <v>41</v>
      </c>
      <c r="D171" s="5" t="s">
        <v>19</v>
      </c>
      <c r="E171" s="5" t="s">
        <v>20</v>
      </c>
      <c r="F171" s="5" t="s">
        <v>49</v>
      </c>
      <c r="G171" s="5" t="s">
        <v>50</v>
      </c>
      <c r="H171" s="5" t="s">
        <v>51</v>
      </c>
      <c r="I171" s="5" t="s">
        <v>267</v>
      </c>
      <c r="J171" s="5" t="s">
        <v>44</v>
      </c>
      <c r="K171" s="5" t="s">
        <v>45</v>
      </c>
      <c r="L171" s="7">
        <v>3558.42</v>
      </c>
      <c r="M171" s="7">
        <v>2719.5</v>
      </c>
      <c r="N171" s="7">
        <v>65.03</v>
      </c>
      <c r="O171" s="7">
        <v>0</v>
      </c>
      <c r="P171" s="5" t="s">
        <v>55</v>
      </c>
      <c r="Q171" s="5" t="s">
        <v>47</v>
      </c>
    </row>
    <row r="172" spans="1:17" x14ac:dyDescent="0.2">
      <c r="A172" s="2" t="s">
        <v>412</v>
      </c>
      <c r="B172" s="2" t="s">
        <v>140</v>
      </c>
      <c r="C172" s="3">
        <v>58</v>
      </c>
      <c r="D172" s="2" t="s">
        <v>39</v>
      </c>
      <c r="E172" s="2" t="s">
        <v>31</v>
      </c>
      <c r="F172" s="2" t="s">
        <v>49</v>
      </c>
      <c r="G172" s="2" t="s">
        <v>50</v>
      </c>
      <c r="H172" s="2" t="s">
        <v>51</v>
      </c>
      <c r="I172" s="2" t="s">
        <v>72</v>
      </c>
      <c r="J172" s="2" t="s">
        <v>75</v>
      </c>
      <c r="K172" s="2" t="s">
        <v>76</v>
      </c>
      <c r="L172" s="4">
        <v>1444.33</v>
      </c>
      <c r="M172" s="4">
        <v>1115.4100000000001</v>
      </c>
      <c r="N172" s="4">
        <v>51.11</v>
      </c>
      <c r="O172" s="4">
        <v>1064.3</v>
      </c>
      <c r="P172" s="2" t="s">
        <v>46</v>
      </c>
      <c r="Q172" s="2" t="s">
        <v>28</v>
      </c>
    </row>
    <row r="173" spans="1:17" x14ac:dyDescent="0.2">
      <c r="A173" s="5" t="s">
        <v>413</v>
      </c>
      <c r="B173" s="5" t="s">
        <v>107</v>
      </c>
      <c r="C173" s="6">
        <v>35</v>
      </c>
      <c r="D173" s="5" t="s">
        <v>19</v>
      </c>
      <c r="E173" s="5" t="s">
        <v>31</v>
      </c>
      <c r="F173" s="5" t="s">
        <v>41</v>
      </c>
      <c r="G173" s="5" t="s">
        <v>42</v>
      </c>
      <c r="H173" s="5" t="s">
        <v>34</v>
      </c>
      <c r="I173" s="5" t="s">
        <v>414</v>
      </c>
      <c r="J173" s="5" t="s">
        <v>25</v>
      </c>
      <c r="K173" s="5" t="s">
        <v>26</v>
      </c>
      <c r="L173" s="7">
        <v>8650.69</v>
      </c>
      <c r="M173" s="7">
        <v>5018.8100000000004</v>
      </c>
      <c r="N173" s="7">
        <v>120.2</v>
      </c>
      <c r="O173" s="7">
        <v>4898.6099999999997</v>
      </c>
      <c r="P173" s="5" t="s">
        <v>46</v>
      </c>
      <c r="Q173" s="5" t="s">
        <v>47</v>
      </c>
    </row>
    <row r="174" spans="1:17" x14ac:dyDescent="0.2">
      <c r="A174" s="2" t="s">
        <v>415</v>
      </c>
      <c r="B174" s="2" t="s">
        <v>57</v>
      </c>
      <c r="C174" s="3">
        <v>59</v>
      </c>
      <c r="D174" s="2" t="s">
        <v>39</v>
      </c>
      <c r="E174" s="2" t="s">
        <v>20</v>
      </c>
      <c r="F174" s="2" t="s">
        <v>49</v>
      </c>
      <c r="G174" s="2" t="s">
        <v>50</v>
      </c>
      <c r="H174" s="2" t="s">
        <v>51</v>
      </c>
      <c r="I174" s="2" t="s">
        <v>286</v>
      </c>
      <c r="J174" s="2" t="s">
        <v>36</v>
      </c>
      <c r="K174" s="2" t="s">
        <v>37</v>
      </c>
      <c r="L174" s="4">
        <v>3532.17</v>
      </c>
      <c r="M174" s="4">
        <v>2005.39</v>
      </c>
      <c r="N174" s="4">
        <v>119.93</v>
      </c>
      <c r="O174" s="4">
        <v>1885.46</v>
      </c>
      <c r="P174" s="2" t="s">
        <v>27</v>
      </c>
      <c r="Q174" s="2" t="s">
        <v>28</v>
      </c>
    </row>
    <row r="175" spans="1:17" x14ac:dyDescent="0.2">
      <c r="A175" s="5" t="s">
        <v>416</v>
      </c>
      <c r="B175" s="5" t="s">
        <v>232</v>
      </c>
      <c r="C175" s="6">
        <v>25</v>
      </c>
      <c r="D175" s="5" t="s">
        <v>19</v>
      </c>
      <c r="E175" s="5" t="s">
        <v>31</v>
      </c>
      <c r="F175" s="5" t="s">
        <v>41</v>
      </c>
      <c r="G175" s="5" t="s">
        <v>42</v>
      </c>
      <c r="H175" s="5" t="s">
        <v>34</v>
      </c>
      <c r="I175" s="5" t="s">
        <v>417</v>
      </c>
      <c r="J175" s="5" t="s">
        <v>167</v>
      </c>
      <c r="K175" s="5" t="s">
        <v>168</v>
      </c>
      <c r="L175" s="7">
        <v>2357.79</v>
      </c>
      <c r="M175" s="7">
        <v>1826.58</v>
      </c>
      <c r="N175" s="7">
        <v>133.4</v>
      </c>
      <c r="O175" s="7">
        <v>1693.18</v>
      </c>
      <c r="P175" s="5" t="s">
        <v>46</v>
      </c>
      <c r="Q175" s="5" t="s">
        <v>28</v>
      </c>
    </row>
    <row r="176" spans="1:17" x14ac:dyDescent="0.2">
      <c r="A176" s="2" t="s">
        <v>418</v>
      </c>
      <c r="B176" s="2" t="s">
        <v>130</v>
      </c>
      <c r="C176" s="3">
        <v>54</v>
      </c>
      <c r="D176" s="2" t="s">
        <v>19</v>
      </c>
      <c r="E176" s="2" t="s">
        <v>20</v>
      </c>
      <c r="F176" s="2" t="s">
        <v>49</v>
      </c>
      <c r="G176" s="2" t="s">
        <v>50</v>
      </c>
      <c r="H176" s="2" t="s">
        <v>51</v>
      </c>
      <c r="I176" s="2" t="s">
        <v>288</v>
      </c>
      <c r="J176" s="2" t="s">
        <v>68</v>
      </c>
      <c r="K176" s="2" t="s">
        <v>69</v>
      </c>
      <c r="L176" s="4">
        <v>11870.83</v>
      </c>
      <c r="M176" s="4">
        <v>8463.7800000000007</v>
      </c>
      <c r="N176" s="4">
        <v>84.21</v>
      </c>
      <c r="O176" s="4">
        <v>8379.57</v>
      </c>
      <c r="P176" s="2" t="s">
        <v>46</v>
      </c>
      <c r="Q176" s="2" t="s">
        <v>28</v>
      </c>
    </row>
    <row r="177" spans="1:17" x14ac:dyDescent="0.2">
      <c r="A177" s="5" t="s">
        <v>419</v>
      </c>
      <c r="B177" s="5" t="s">
        <v>158</v>
      </c>
      <c r="C177" s="6">
        <v>61</v>
      </c>
      <c r="D177" s="5" t="s">
        <v>39</v>
      </c>
      <c r="E177" s="5" t="s">
        <v>20</v>
      </c>
      <c r="F177" s="5" t="s">
        <v>32</v>
      </c>
      <c r="G177" s="5" t="s">
        <v>33</v>
      </c>
      <c r="H177" s="5" t="s">
        <v>34</v>
      </c>
      <c r="I177" s="5" t="s">
        <v>420</v>
      </c>
      <c r="J177" s="5" t="s">
        <v>68</v>
      </c>
      <c r="K177" s="5" t="s">
        <v>69</v>
      </c>
      <c r="L177" s="7">
        <v>5588.14</v>
      </c>
      <c r="M177" s="7">
        <v>3504.77</v>
      </c>
      <c r="N177" s="7">
        <v>44.21</v>
      </c>
      <c r="O177" s="7">
        <v>3460.56</v>
      </c>
      <c r="P177" s="5" t="s">
        <v>46</v>
      </c>
      <c r="Q177" s="5" t="s">
        <v>47</v>
      </c>
    </row>
    <row r="178" spans="1:17" x14ac:dyDescent="0.2">
      <c r="A178" s="2" t="s">
        <v>421</v>
      </c>
      <c r="B178" s="2" t="s">
        <v>321</v>
      </c>
      <c r="C178" s="3">
        <v>45</v>
      </c>
      <c r="D178" s="2" t="s">
        <v>39</v>
      </c>
      <c r="E178" s="2" t="s">
        <v>20</v>
      </c>
      <c r="F178" s="2" t="s">
        <v>99</v>
      </c>
      <c r="G178" s="2" t="s">
        <v>100</v>
      </c>
      <c r="H178" s="2" t="s">
        <v>34</v>
      </c>
      <c r="I178" s="2" t="s">
        <v>422</v>
      </c>
      <c r="J178" s="2" t="s">
        <v>144</v>
      </c>
      <c r="K178" s="2" t="s">
        <v>145</v>
      </c>
      <c r="L178" s="4">
        <v>1177.8399999999999</v>
      </c>
      <c r="M178" s="4">
        <v>884.29</v>
      </c>
      <c r="N178" s="4">
        <v>44.02</v>
      </c>
      <c r="O178" s="4">
        <v>840.27</v>
      </c>
      <c r="P178" s="2" t="s">
        <v>46</v>
      </c>
      <c r="Q178" s="2" t="s">
        <v>47</v>
      </c>
    </row>
    <row r="179" spans="1:17" x14ac:dyDescent="0.2">
      <c r="A179" s="5" t="s">
        <v>423</v>
      </c>
      <c r="B179" s="5" t="s">
        <v>285</v>
      </c>
      <c r="C179" s="6">
        <v>66</v>
      </c>
      <c r="D179" s="5" t="s">
        <v>19</v>
      </c>
      <c r="E179" s="5" t="s">
        <v>31</v>
      </c>
      <c r="F179" s="5" t="s">
        <v>41</v>
      </c>
      <c r="G179" s="5" t="s">
        <v>42</v>
      </c>
      <c r="H179" s="5" t="s">
        <v>34</v>
      </c>
      <c r="I179" s="5" t="s">
        <v>177</v>
      </c>
      <c r="J179" s="5" t="s">
        <v>36</v>
      </c>
      <c r="K179" s="5" t="s">
        <v>37</v>
      </c>
      <c r="L179" s="7">
        <v>11455.31</v>
      </c>
      <c r="M179" s="7">
        <v>7338.09</v>
      </c>
      <c r="N179" s="7">
        <v>113.97</v>
      </c>
      <c r="O179" s="7">
        <v>7224.12</v>
      </c>
      <c r="P179" s="5" t="s">
        <v>46</v>
      </c>
      <c r="Q179" s="5" t="s">
        <v>28</v>
      </c>
    </row>
    <row r="180" spans="1:17" x14ac:dyDescent="0.2">
      <c r="A180" s="2" t="s">
        <v>424</v>
      </c>
      <c r="B180" s="2" t="s">
        <v>200</v>
      </c>
      <c r="C180" s="3">
        <v>32</v>
      </c>
      <c r="D180" s="2" t="s">
        <v>19</v>
      </c>
      <c r="E180" s="2" t="s">
        <v>40</v>
      </c>
      <c r="F180" s="2" t="s">
        <v>41</v>
      </c>
      <c r="G180" s="2" t="s">
        <v>42</v>
      </c>
      <c r="H180" s="2" t="s">
        <v>34</v>
      </c>
      <c r="I180" s="2" t="s">
        <v>425</v>
      </c>
      <c r="J180" s="2" t="s">
        <v>25</v>
      </c>
      <c r="K180" s="2" t="s">
        <v>26</v>
      </c>
      <c r="L180" s="4">
        <v>2042.64</v>
      </c>
      <c r="M180" s="4">
        <v>1543.87</v>
      </c>
      <c r="N180" s="4">
        <v>140</v>
      </c>
      <c r="O180" s="4">
        <v>1403.87</v>
      </c>
      <c r="P180" s="2" t="s">
        <v>46</v>
      </c>
      <c r="Q180" s="2" t="s">
        <v>28</v>
      </c>
    </row>
    <row r="181" spans="1:17" x14ac:dyDescent="0.2">
      <c r="A181" s="5" t="s">
        <v>426</v>
      </c>
      <c r="B181" s="5" t="s">
        <v>200</v>
      </c>
      <c r="C181" s="6">
        <v>60</v>
      </c>
      <c r="D181" s="5" t="s">
        <v>19</v>
      </c>
      <c r="E181" s="5" t="s">
        <v>31</v>
      </c>
      <c r="F181" s="5" t="s">
        <v>32</v>
      </c>
      <c r="G181" s="5" t="s">
        <v>33</v>
      </c>
      <c r="H181" s="5" t="s">
        <v>34</v>
      </c>
      <c r="I181" s="5" t="s">
        <v>288</v>
      </c>
      <c r="J181" s="5" t="s">
        <v>36</v>
      </c>
      <c r="K181" s="5" t="s">
        <v>37</v>
      </c>
      <c r="L181" s="7">
        <v>1965.25</v>
      </c>
      <c r="M181" s="7">
        <v>1521.73</v>
      </c>
      <c r="N181" s="7">
        <v>98.75</v>
      </c>
      <c r="O181" s="7">
        <v>0</v>
      </c>
      <c r="P181" s="5" t="s">
        <v>55</v>
      </c>
      <c r="Q181" s="5" t="s">
        <v>28</v>
      </c>
    </row>
    <row r="182" spans="1:17" x14ac:dyDescent="0.2">
      <c r="A182" s="2" t="s">
        <v>427</v>
      </c>
      <c r="B182" s="2" t="s">
        <v>237</v>
      </c>
      <c r="C182" s="3">
        <v>28</v>
      </c>
      <c r="D182" s="2" t="s">
        <v>39</v>
      </c>
      <c r="E182" s="2" t="s">
        <v>31</v>
      </c>
      <c r="F182" s="2" t="s">
        <v>99</v>
      </c>
      <c r="G182" s="2" t="s">
        <v>100</v>
      </c>
      <c r="H182" s="2" t="s">
        <v>34</v>
      </c>
      <c r="I182" s="2" t="s">
        <v>352</v>
      </c>
      <c r="J182" s="2" t="s">
        <v>36</v>
      </c>
      <c r="K182" s="2" t="s">
        <v>37</v>
      </c>
      <c r="L182" s="4">
        <v>6377.25</v>
      </c>
      <c r="M182" s="4">
        <v>4517.9799999999996</v>
      </c>
      <c r="N182" s="4">
        <v>67.03</v>
      </c>
      <c r="O182" s="4">
        <v>4450.95</v>
      </c>
      <c r="P182" s="2" t="s">
        <v>27</v>
      </c>
      <c r="Q182" s="2" t="s">
        <v>28</v>
      </c>
    </row>
    <row r="183" spans="1:17" x14ac:dyDescent="0.2">
      <c r="A183" s="5" t="s">
        <v>428</v>
      </c>
      <c r="B183" s="5" t="s">
        <v>18</v>
      </c>
      <c r="C183" s="6">
        <v>57</v>
      </c>
      <c r="D183" s="5" t="s">
        <v>19</v>
      </c>
      <c r="E183" s="5" t="s">
        <v>20</v>
      </c>
      <c r="F183" s="5" t="s">
        <v>49</v>
      </c>
      <c r="G183" s="5" t="s">
        <v>50</v>
      </c>
      <c r="H183" s="5" t="s">
        <v>51</v>
      </c>
      <c r="I183" s="5" t="s">
        <v>269</v>
      </c>
      <c r="J183" s="5" t="s">
        <v>44</v>
      </c>
      <c r="K183" s="5" t="s">
        <v>45</v>
      </c>
      <c r="L183" s="7">
        <v>5385.81</v>
      </c>
      <c r="M183" s="7">
        <v>4061.38</v>
      </c>
      <c r="N183" s="7">
        <v>113.2</v>
      </c>
      <c r="O183" s="7">
        <v>0</v>
      </c>
      <c r="P183" s="5" t="s">
        <v>55</v>
      </c>
      <c r="Q183" s="5" t="s">
        <v>28</v>
      </c>
    </row>
    <row r="184" spans="1:17" x14ac:dyDescent="0.2">
      <c r="A184" s="2" t="s">
        <v>429</v>
      </c>
      <c r="B184" s="2" t="s">
        <v>306</v>
      </c>
      <c r="C184" s="3">
        <v>26</v>
      </c>
      <c r="D184" s="2" t="s">
        <v>19</v>
      </c>
      <c r="E184" s="2" t="s">
        <v>40</v>
      </c>
      <c r="F184" s="2" t="s">
        <v>41</v>
      </c>
      <c r="G184" s="2" t="s">
        <v>42</v>
      </c>
      <c r="H184" s="2" t="s">
        <v>34</v>
      </c>
      <c r="I184" s="2" t="s">
        <v>159</v>
      </c>
      <c r="J184" s="2" t="s">
        <v>75</v>
      </c>
      <c r="K184" s="2" t="s">
        <v>76</v>
      </c>
      <c r="L184" s="4">
        <v>6832.35</v>
      </c>
      <c r="M184" s="4">
        <v>4903.16</v>
      </c>
      <c r="N184" s="4">
        <v>107.46</v>
      </c>
      <c r="O184" s="4">
        <v>4795.7</v>
      </c>
      <c r="P184" s="2" t="s">
        <v>46</v>
      </c>
      <c r="Q184" s="2" t="s">
        <v>28</v>
      </c>
    </row>
    <row r="185" spans="1:17" x14ac:dyDescent="0.2">
      <c r="A185" s="5" t="s">
        <v>430</v>
      </c>
      <c r="B185" s="5" t="s">
        <v>85</v>
      </c>
      <c r="C185" s="6">
        <v>55</v>
      </c>
      <c r="D185" s="5" t="s">
        <v>39</v>
      </c>
      <c r="E185" s="5" t="s">
        <v>40</v>
      </c>
      <c r="F185" s="5" t="s">
        <v>99</v>
      </c>
      <c r="G185" s="5" t="s">
        <v>100</v>
      </c>
      <c r="H185" s="5" t="s">
        <v>34</v>
      </c>
      <c r="I185" s="5" t="s">
        <v>431</v>
      </c>
      <c r="J185" s="5" t="s">
        <v>36</v>
      </c>
      <c r="K185" s="5" t="s">
        <v>37</v>
      </c>
      <c r="L185" s="7">
        <v>686.68</v>
      </c>
      <c r="M185" s="7">
        <v>448.65</v>
      </c>
      <c r="N185" s="7">
        <v>28.29</v>
      </c>
      <c r="O185" s="7">
        <v>420.36</v>
      </c>
      <c r="P185" s="5" t="s">
        <v>46</v>
      </c>
      <c r="Q185" s="5" t="s">
        <v>28</v>
      </c>
    </row>
    <row r="186" spans="1:17" x14ac:dyDescent="0.2">
      <c r="A186" s="2" t="s">
        <v>432</v>
      </c>
      <c r="B186" s="2" t="s">
        <v>247</v>
      </c>
      <c r="C186" s="3">
        <v>30</v>
      </c>
      <c r="D186" s="2" t="s">
        <v>39</v>
      </c>
      <c r="E186" s="2" t="s">
        <v>31</v>
      </c>
      <c r="F186" s="2" t="s">
        <v>41</v>
      </c>
      <c r="G186" s="2" t="s">
        <v>42</v>
      </c>
      <c r="H186" s="2" t="s">
        <v>34</v>
      </c>
      <c r="I186" s="2" t="s">
        <v>43</v>
      </c>
      <c r="J186" s="2" t="s">
        <v>44</v>
      </c>
      <c r="K186" s="2" t="s">
        <v>45</v>
      </c>
      <c r="L186" s="4">
        <v>11915.35</v>
      </c>
      <c r="M186" s="4">
        <v>7920.66</v>
      </c>
      <c r="N186" s="4">
        <v>133.05000000000001</v>
      </c>
      <c r="O186" s="4">
        <v>0</v>
      </c>
      <c r="P186" s="2" t="s">
        <v>55</v>
      </c>
      <c r="Q186" s="2" t="s">
        <v>47</v>
      </c>
    </row>
    <row r="187" spans="1:17" x14ac:dyDescent="0.2">
      <c r="A187" s="5" t="s">
        <v>433</v>
      </c>
      <c r="B187" s="5" t="s">
        <v>78</v>
      </c>
      <c r="C187" s="6">
        <v>26</v>
      </c>
      <c r="D187" s="5" t="s">
        <v>19</v>
      </c>
      <c r="E187" s="5" t="s">
        <v>40</v>
      </c>
      <c r="F187" s="5" t="s">
        <v>32</v>
      </c>
      <c r="G187" s="5" t="s">
        <v>33</v>
      </c>
      <c r="H187" s="5" t="s">
        <v>34</v>
      </c>
      <c r="I187" s="5" t="s">
        <v>154</v>
      </c>
      <c r="J187" s="5" t="s">
        <v>25</v>
      </c>
      <c r="K187" s="5" t="s">
        <v>26</v>
      </c>
      <c r="L187" s="7">
        <v>4807.74</v>
      </c>
      <c r="M187" s="7">
        <v>2827.93</v>
      </c>
      <c r="N187" s="7">
        <v>147.22999999999999</v>
      </c>
      <c r="O187" s="7">
        <v>2680.7</v>
      </c>
      <c r="P187" s="5" t="s">
        <v>46</v>
      </c>
      <c r="Q187" s="5" t="s">
        <v>47</v>
      </c>
    </row>
    <row r="188" spans="1:17" x14ac:dyDescent="0.2">
      <c r="A188" s="2" t="s">
        <v>434</v>
      </c>
      <c r="B188" s="2" t="s">
        <v>232</v>
      </c>
      <c r="C188" s="3">
        <v>67</v>
      </c>
      <c r="D188" s="2" t="s">
        <v>19</v>
      </c>
      <c r="E188" s="2" t="s">
        <v>31</v>
      </c>
      <c r="F188" s="2" t="s">
        <v>41</v>
      </c>
      <c r="G188" s="2" t="s">
        <v>42</v>
      </c>
      <c r="H188" s="2" t="s">
        <v>34</v>
      </c>
      <c r="I188" s="2" t="s">
        <v>435</v>
      </c>
      <c r="J188" s="2" t="s">
        <v>75</v>
      </c>
      <c r="K188" s="2" t="s">
        <v>76</v>
      </c>
      <c r="L188" s="4">
        <v>3083.02</v>
      </c>
      <c r="M188" s="4">
        <v>2015.83</v>
      </c>
      <c r="N188" s="4">
        <v>55.83</v>
      </c>
      <c r="O188" s="4">
        <v>1960</v>
      </c>
      <c r="P188" s="2" t="s">
        <v>46</v>
      </c>
      <c r="Q188" s="2" t="s">
        <v>28</v>
      </c>
    </row>
    <row r="189" spans="1:17" x14ac:dyDescent="0.2">
      <c r="A189" s="5" t="s">
        <v>436</v>
      </c>
      <c r="B189" s="5" t="s">
        <v>95</v>
      </c>
      <c r="C189" s="6">
        <v>72</v>
      </c>
      <c r="D189" s="5" t="s">
        <v>39</v>
      </c>
      <c r="E189" s="5" t="s">
        <v>40</v>
      </c>
      <c r="F189" s="5" t="s">
        <v>32</v>
      </c>
      <c r="G189" s="5" t="s">
        <v>33</v>
      </c>
      <c r="H189" s="5" t="s">
        <v>34</v>
      </c>
      <c r="I189" s="5" t="s">
        <v>437</v>
      </c>
      <c r="J189" s="5" t="s">
        <v>36</v>
      </c>
      <c r="K189" s="5" t="s">
        <v>37</v>
      </c>
      <c r="L189" s="7">
        <v>1345.63</v>
      </c>
      <c r="M189" s="7">
        <v>753.65</v>
      </c>
      <c r="N189" s="7">
        <v>97.71</v>
      </c>
      <c r="O189" s="7">
        <v>655.94</v>
      </c>
      <c r="P189" s="5" t="s">
        <v>46</v>
      </c>
      <c r="Q189" s="5" t="s">
        <v>28</v>
      </c>
    </row>
    <row r="190" spans="1:17" x14ac:dyDescent="0.2">
      <c r="A190" s="2" t="s">
        <v>438</v>
      </c>
      <c r="B190" s="2" t="s">
        <v>266</v>
      </c>
      <c r="C190" s="3">
        <v>61</v>
      </c>
      <c r="D190" s="2" t="s">
        <v>19</v>
      </c>
      <c r="E190" s="2" t="s">
        <v>20</v>
      </c>
      <c r="F190" s="2" t="s">
        <v>32</v>
      </c>
      <c r="G190" s="2" t="s">
        <v>33</v>
      </c>
      <c r="H190" s="2" t="s">
        <v>34</v>
      </c>
      <c r="I190" s="2" t="s">
        <v>81</v>
      </c>
      <c r="J190" s="2" t="s">
        <v>75</v>
      </c>
      <c r="K190" s="2" t="s">
        <v>76</v>
      </c>
      <c r="L190" s="4">
        <v>1810.61</v>
      </c>
      <c r="M190" s="4">
        <v>1535.48</v>
      </c>
      <c r="N190" s="4">
        <v>50.44</v>
      </c>
      <c r="O190" s="4">
        <v>1485.04</v>
      </c>
      <c r="P190" s="2" t="s">
        <v>27</v>
      </c>
      <c r="Q190" s="2" t="s">
        <v>28</v>
      </c>
    </row>
    <row r="191" spans="1:17" x14ac:dyDescent="0.2">
      <c r="A191" s="5" t="s">
        <v>439</v>
      </c>
      <c r="B191" s="5" t="s">
        <v>170</v>
      </c>
      <c r="C191" s="6">
        <v>68</v>
      </c>
      <c r="D191" s="5" t="s">
        <v>19</v>
      </c>
      <c r="E191" s="5" t="s">
        <v>31</v>
      </c>
      <c r="F191" s="5" t="s">
        <v>32</v>
      </c>
      <c r="G191" s="5" t="s">
        <v>33</v>
      </c>
      <c r="H191" s="5" t="s">
        <v>34</v>
      </c>
      <c r="I191" s="5" t="s">
        <v>440</v>
      </c>
      <c r="J191" s="5" t="s">
        <v>75</v>
      </c>
      <c r="K191" s="5" t="s">
        <v>76</v>
      </c>
      <c r="L191" s="7">
        <v>3710.94</v>
      </c>
      <c r="M191" s="7">
        <v>2108.88</v>
      </c>
      <c r="N191" s="7">
        <v>143.31</v>
      </c>
      <c r="O191" s="7">
        <v>1965.57</v>
      </c>
      <c r="P191" s="5" t="s">
        <v>46</v>
      </c>
      <c r="Q191" s="5" t="s">
        <v>28</v>
      </c>
    </row>
    <row r="192" spans="1:17" x14ac:dyDescent="0.2">
      <c r="A192" s="2" t="s">
        <v>441</v>
      </c>
      <c r="B192" s="2" t="s">
        <v>303</v>
      </c>
      <c r="C192" s="3">
        <v>73</v>
      </c>
      <c r="D192" s="2" t="s">
        <v>19</v>
      </c>
      <c r="E192" s="2" t="s">
        <v>20</v>
      </c>
      <c r="F192" s="2" t="s">
        <v>41</v>
      </c>
      <c r="G192" s="2" t="s">
        <v>42</v>
      </c>
      <c r="H192" s="2" t="s">
        <v>34</v>
      </c>
      <c r="I192" s="2" t="s">
        <v>442</v>
      </c>
      <c r="J192" s="2" t="s">
        <v>68</v>
      </c>
      <c r="K192" s="2" t="s">
        <v>69</v>
      </c>
      <c r="L192" s="4">
        <v>3927</v>
      </c>
      <c r="M192" s="4">
        <v>2650.32</v>
      </c>
      <c r="N192" s="4">
        <v>39.4</v>
      </c>
      <c r="O192" s="4">
        <v>0</v>
      </c>
      <c r="P192" s="2" t="s">
        <v>55</v>
      </c>
      <c r="Q192" s="2" t="s">
        <v>28</v>
      </c>
    </row>
    <row r="193" spans="1:17" x14ac:dyDescent="0.2">
      <c r="A193" s="5" t="s">
        <v>443</v>
      </c>
      <c r="B193" s="5" t="s">
        <v>444</v>
      </c>
      <c r="C193" s="6">
        <v>33</v>
      </c>
      <c r="D193" s="5" t="s">
        <v>19</v>
      </c>
      <c r="E193" s="5" t="s">
        <v>20</v>
      </c>
      <c r="F193" s="5" t="s">
        <v>32</v>
      </c>
      <c r="G193" s="5" t="s">
        <v>33</v>
      </c>
      <c r="H193" s="5" t="s">
        <v>34</v>
      </c>
      <c r="I193" s="5" t="s">
        <v>445</v>
      </c>
      <c r="J193" s="5" t="s">
        <v>87</v>
      </c>
      <c r="K193" s="5" t="s">
        <v>88</v>
      </c>
      <c r="L193" s="7">
        <v>10989.68</v>
      </c>
      <c r="M193" s="7">
        <v>7898.46</v>
      </c>
      <c r="N193" s="7">
        <v>145.81</v>
      </c>
      <c r="O193" s="7">
        <v>7752.65</v>
      </c>
      <c r="P193" s="5" t="s">
        <v>27</v>
      </c>
      <c r="Q193" s="5" t="s">
        <v>28</v>
      </c>
    </row>
    <row r="194" spans="1:17" x14ac:dyDescent="0.2">
      <c r="A194" s="2" t="s">
        <v>446</v>
      </c>
      <c r="B194" s="2" t="s">
        <v>116</v>
      </c>
      <c r="C194" s="3">
        <v>42</v>
      </c>
      <c r="D194" s="2" t="s">
        <v>19</v>
      </c>
      <c r="E194" s="2" t="s">
        <v>31</v>
      </c>
      <c r="F194" s="2" t="s">
        <v>21</v>
      </c>
      <c r="G194" s="2" t="s">
        <v>22</v>
      </c>
      <c r="H194" s="2" t="s">
        <v>23</v>
      </c>
      <c r="I194" s="2" t="s">
        <v>417</v>
      </c>
      <c r="J194" s="2" t="s">
        <v>68</v>
      </c>
      <c r="K194" s="2" t="s">
        <v>69</v>
      </c>
      <c r="L194" s="4">
        <v>10188.530000000001</v>
      </c>
      <c r="M194" s="4">
        <v>5886.31</v>
      </c>
      <c r="N194" s="4">
        <v>114.2</v>
      </c>
      <c r="O194" s="4">
        <v>5772.11</v>
      </c>
      <c r="P194" s="2" t="s">
        <v>46</v>
      </c>
      <c r="Q194" s="2" t="s">
        <v>28</v>
      </c>
    </row>
    <row r="195" spans="1:17" x14ac:dyDescent="0.2">
      <c r="A195" s="5" t="s">
        <v>447</v>
      </c>
      <c r="B195" s="5" t="s">
        <v>189</v>
      </c>
      <c r="C195" s="6">
        <v>25</v>
      </c>
      <c r="D195" s="5" t="s">
        <v>39</v>
      </c>
      <c r="E195" s="5" t="s">
        <v>20</v>
      </c>
      <c r="F195" s="5" t="s">
        <v>32</v>
      </c>
      <c r="G195" s="5" t="s">
        <v>33</v>
      </c>
      <c r="H195" s="5" t="s">
        <v>34</v>
      </c>
      <c r="I195" s="5" t="s">
        <v>262</v>
      </c>
      <c r="J195" s="5" t="s">
        <v>25</v>
      </c>
      <c r="K195" s="5" t="s">
        <v>26</v>
      </c>
      <c r="L195" s="7">
        <v>8733.02</v>
      </c>
      <c r="M195" s="7">
        <v>6267.3</v>
      </c>
      <c r="N195" s="7">
        <v>82.32</v>
      </c>
      <c r="O195" s="7">
        <v>6184.98</v>
      </c>
      <c r="P195" s="5" t="s">
        <v>46</v>
      </c>
      <c r="Q195" s="5" t="s">
        <v>28</v>
      </c>
    </row>
    <row r="196" spans="1:17" x14ac:dyDescent="0.2">
      <c r="A196" s="2" t="s">
        <v>448</v>
      </c>
      <c r="B196" s="2" t="s">
        <v>266</v>
      </c>
      <c r="C196" s="3">
        <v>74</v>
      </c>
      <c r="D196" s="2" t="s">
        <v>19</v>
      </c>
      <c r="E196" s="2" t="s">
        <v>40</v>
      </c>
      <c r="F196" s="2" t="s">
        <v>32</v>
      </c>
      <c r="G196" s="2" t="s">
        <v>33</v>
      </c>
      <c r="H196" s="2" t="s">
        <v>34</v>
      </c>
      <c r="I196" s="2" t="s">
        <v>58</v>
      </c>
      <c r="J196" s="2" t="s">
        <v>104</v>
      </c>
      <c r="K196" s="2" t="s">
        <v>105</v>
      </c>
      <c r="L196" s="4">
        <v>7312.16</v>
      </c>
      <c r="M196" s="4">
        <v>4470.32</v>
      </c>
      <c r="N196" s="4">
        <v>138.97</v>
      </c>
      <c r="O196" s="4">
        <v>4331.3500000000004</v>
      </c>
      <c r="P196" s="2" t="s">
        <v>27</v>
      </c>
      <c r="Q196" s="2" t="s">
        <v>47</v>
      </c>
    </row>
    <row r="197" spans="1:17" x14ac:dyDescent="0.2">
      <c r="A197" s="5" t="s">
        <v>449</v>
      </c>
      <c r="B197" s="5" t="s">
        <v>78</v>
      </c>
      <c r="C197" s="6">
        <v>45</v>
      </c>
      <c r="D197" s="5" t="s">
        <v>39</v>
      </c>
      <c r="E197" s="5" t="s">
        <v>40</v>
      </c>
      <c r="F197" s="5" t="s">
        <v>49</v>
      </c>
      <c r="G197" s="5" t="s">
        <v>50</v>
      </c>
      <c r="H197" s="5" t="s">
        <v>51</v>
      </c>
      <c r="I197" s="5" t="s">
        <v>450</v>
      </c>
      <c r="J197" s="5" t="s">
        <v>87</v>
      </c>
      <c r="K197" s="5" t="s">
        <v>88</v>
      </c>
      <c r="L197" s="7">
        <v>6226.88</v>
      </c>
      <c r="M197" s="7">
        <v>4353.7299999999996</v>
      </c>
      <c r="N197" s="7">
        <v>32.82</v>
      </c>
      <c r="O197" s="7">
        <v>0</v>
      </c>
      <c r="P197" s="5" t="s">
        <v>55</v>
      </c>
      <c r="Q197" s="5" t="s">
        <v>47</v>
      </c>
    </row>
    <row r="198" spans="1:17" x14ac:dyDescent="0.2">
      <c r="A198" s="2" t="s">
        <v>451</v>
      </c>
      <c r="B198" s="2" t="s">
        <v>92</v>
      </c>
      <c r="C198" s="3">
        <v>71</v>
      </c>
      <c r="D198" s="2" t="s">
        <v>19</v>
      </c>
      <c r="E198" s="2" t="s">
        <v>40</v>
      </c>
      <c r="F198" s="2" t="s">
        <v>99</v>
      </c>
      <c r="G198" s="2" t="s">
        <v>100</v>
      </c>
      <c r="H198" s="2" t="s">
        <v>34</v>
      </c>
      <c r="I198" s="2" t="s">
        <v>307</v>
      </c>
      <c r="J198" s="2" t="s">
        <v>167</v>
      </c>
      <c r="K198" s="2" t="s">
        <v>168</v>
      </c>
      <c r="L198" s="4">
        <v>8933.84</v>
      </c>
      <c r="M198" s="4">
        <v>4957.08</v>
      </c>
      <c r="N198" s="4">
        <v>91.93</v>
      </c>
      <c r="O198" s="4">
        <v>4865.1499999999996</v>
      </c>
      <c r="P198" s="2" t="s">
        <v>27</v>
      </c>
      <c r="Q198" s="2" t="s">
        <v>28</v>
      </c>
    </row>
    <row r="199" spans="1:17" x14ac:dyDescent="0.2">
      <c r="A199" s="5" t="s">
        <v>452</v>
      </c>
      <c r="B199" s="5" t="s">
        <v>285</v>
      </c>
      <c r="C199" s="6">
        <v>73</v>
      </c>
      <c r="D199" s="5" t="s">
        <v>19</v>
      </c>
      <c r="E199" s="5" t="s">
        <v>31</v>
      </c>
      <c r="F199" s="5" t="s">
        <v>32</v>
      </c>
      <c r="G199" s="5" t="s">
        <v>33</v>
      </c>
      <c r="H199" s="5" t="s">
        <v>34</v>
      </c>
      <c r="I199" s="5" t="s">
        <v>343</v>
      </c>
      <c r="J199" s="5" t="s">
        <v>68</v>
      </c>
      <c r="K199" s="5" t="s">
        <v>69</v>
      </c>
      <c r="L199" s="7">
        <v>6902.01</v>
      </c>
      <c r="M199" s="7">
        <v>4304.91</v>
      </c>
      <c r="N199" s="7">
        <v>91.58</v>
      </c>
      <c r="O199" s="7">
        <v>4213.33</v>
      </c>
      <c r="P199" s="5" t="s">
        <v>46</v>
      </c>
      <c r="Q199" s="5" t="s">
        <v>47</v>
      </c>
    </row>
    <row r="200" spans="1:17" x14ac:dyDescent="0.2">
      <c r="A200" s="2" t="s">
        <v>453</v>
      </c>
      <c r="B200" s="2" t="s">
        <v>303</v>
      </c>
      <c r="C200" s="3">
        <v>59</v>
      </c>
      <c r="D200" s="2" t="s">
        <v>39</v>
      </c>
      <c r="E200" s="2" t="s">
        <v>31</v>
      </c>
      <c r="F200" s="2" t="s">
        <v>32</v>
      </c>
      <c r="G200" s="2" t="s">
        <v>33</v>
      </c>
      <c r="H200" s="2" t="s">
        <v>34</v>
      </c>
      <c r="I200" s="2" t="s">
        <v>114</v>
      </c>
      <c r="J200" s="2" t="s">
        <v>104</v>
      </c>
      <c r="K200" s="2" t="s">
        <v>105</v>
      </c>
      <c r="L200" s="4">
        <v>9570.4599999999991</v>
      </c>
      <c r="M200" s="4">
        <v>5749.74</v>
      </c>
      <c r="N200" s="4">
        <v>113.64</v>
      </c>
      <c r="O200" s="4">
        <v>0</v>
      </c>
      <c r="P200" s="2" t="s">
        <v>55</v>
      </c>
      <c r="Q200" s="2" t="s">
        <v>28</v>
      </c>
    </row>
    <row r="201" spans="1:17" x14ac:dyDescent="0.2">
      <c r="A201" s="5" t="s">
        <v>454</v>
      </c>
      <c r="B201" s="5" t="s">
        <v>313</v>
      </c>
      <c r="C201" s="6">
        <v>38</v>
      </c>
      <c r="D201" s="5" t="s">
        <v>19</v>
      </c>
      <c r="E201" s="5" t="s">
        <v>40</v>
      </c>
      <c r="F201" s="5" t="s">
        <v>21</v>
      </c>
      <c r="G201" s="5" t="s">
        <v>22</v>
      </c>
      <c r="H201" s="5" t="s">
        <v>23</v>
      </c>
      <c r="I201" s="5" t="s">
        <v>455</v>
      </c>
      <c r="J201" s="5" t="s">
        <v>167</v>
      </c>
      <c r="K201" s="5" t="s">
        <v>168</v>
      </c>
      <c r="L201" s="7">
        <v>1779.27</v>
      </c>
      <c r="M201" s="7">
        <v>1315.26</v>
      </c>
      <c r="N201" s="7">
        <v>28.84</v>
      </c>
      <c r="O201" s="7">
        <v>1286.42</v>
      </c>
      <c r="P201" s="5" t="s">
        <v>46</v>
      </c>
      <c r="Q201" s="5" t="s">
        <v>47</v>
      </c>
    </row>
  </sheetData>
  <autoFilter ref="A1:Q201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baseColWidth="10" defaultColWidth="8.83203125" defaultRowHeight="15" x14ac:dyDescent="0.2"/>
  <cols>
    <col min="1" max="1" width="30" customWidth="1"/>
    <col min="2" max="3" width="16" customWidth="1"/>
    <col min="4" max="6" width="18" customWidth="1"/>
  </cols>
  <sheetData>
    <row r="1" spans="1:6" ht="20" customHeight="1" x14ac:dyDescent="0.2">
      <c r="A1" s="8" t="s">
        <v>456</v>
      </c>
    </row>
    <row r="2" spans="1:6" ht="18" customHeight="1" x14ac:dyDescent="0.2"/>
    <row r="3" spans="1:6" ht="28" customHeight="1" x14ac:dyDescent="0.2">
      <c r="A3" s="1" t="s">
        <v>457</v>
      </c>
      <c r="B3" s="1" t="s">
        <v>458</v>
      </c>
      <c r="C3" s="1" t="s">
        <v>459</v>
      </c>
      <c r="D3" s="1" t="s">
        <v>460</v>
      </c>
      <c r="E3" s="1" t="s">
        <v>461</v>
      </c>
      <c r="F3" s="1" t="s">
        <v>462</v>
      </c>
    </row>
    <row r="4" spans="1:6" x14ac:dyDescent="0.2">
      <c r="A4" s="9">
        <f>COUNTA('Claims Data'!A2:A201)</f>
        <v>200</v>
      </c>
      <c r="B4" s="9">
        <f>SUM('Claims Data'!L2:L201)</f>
        <v>1247031.3699999999</v>
      </c>
      <c r="C4" s="9">
        <f>SUM('Claims Data'!O2:O201)</f>
        <v>700767.24000000011</v>
      </c>
      <c r="D4" s="10">
        <f>COUNTIF('Claims Data'!P2:P201,"Approved")/COUNTA('Claims Data'!P2:P201)</f>
        <v>0.59</v>
      </c>
      <c r="E4" s="10">
        <f>COUNTIF('Claims Data'!P2:P201,"Denied")/COUNTA('Claims Data'!P2:P201)</f>
        <v>0.2</v>
      </c>
      <c r="F4" s="9">
        <f>AVERAGE('Claims Data'!L2:L201)</f>
        <v>6235.1568499999994</v>
      </c>
    </row>
    <row r="6" spans="1:6" ht="20" customHeight="1" x14ac:dyDescent="0.2">
      <c r="A6" s="8" t="s">
        <v>463</v>
      </c>
    </row>
    <row r="7" spans="1:6" x14ac:dyDescent="0.2">
      <c r="A7" s="1" t="s">
        <v>464</v>
      </c>
      <c r="B7" s="1" t="s">
        <v>465</v>
      </c>
      <c r="C7" s="1" t="s">
        <v>466</v>
      </c>
    </row>
    <row r="8" spans="1:6" x14ac:dyDescent="0.2">
      <c r="A8" s="11" t="s">
        <v>46</v>
      </c>
      <c r="B8" s="12">
        <f>COUNTIF('Claims Data'!P2:P201,"Approved")</f>
        <v>118</v>
      </c>
      <c r="C8" s="13">
        <f>B8/B4</f>
        <v>9.4624724637039413E-5</v>
      </c>
    </row>
    <row r="9" spans="1:6" x14ac:dyDescent="0.2">
      <c r="A9" s="11" t="s">
        <v>55</v>
      </c>
      <c r="B9" s="12">
        <f>COUNTIF('Claims Data'!P2:P201,"Denied")</f>
        <v>40</v>
      </c>
      <c r="C9" s="13">
        <f>B9/B4</f>
        <v>3.2076177843064205E-5</v>
      </c>
    </row>
    <row r="10" spans="1:6" x14ac:dyDescent="0.2">
      <c r="A10" s="11" t="s">
        <v>27</v>
      </c>
      <c r="B10" s="12">
        <f>COUNTIF('Claims Data'!P2:P201,"Pending")</f>
        <v>42</v>
      </c>
      <c r="C10" s="13">
        <f>B10/B4</f>
        <v>3.367998673521742E-5</v>
      </c>
    </row>
    <row r="12" spans="1:6" ht="20" customHeight="1" x14ac:dyDescent="0.2">
      <c r="A12" s="8" t="s">
        <v>467</v>
      </c>
    </row>
    <row r="13" spans="1:6" x14ac:dyDescent="0.2">
      <c r="A13" s="1" t="s">
        <v>4</v>
      </c>
      <c r="B13" s="14" t="s">
        <v>468</v>
      </c>
      <c r="C13" s="14" t="s">
        <v>459</v>
      </c>
    </row>
    <row r="14" spans="1:6" x14ac:dyDescent="0.2">
      <c r="A14" s="11" t="s">
        <v>20</v>
      </c>
      <c r="B14" s="11">
        <f>COUNTIF('Claims Data'!E2:E201,"Gold")</f>
        <v>67</v>
      </c>
      <c r="C14" s="15">
        <f>SUMIF('Claims Data'!E2:E201,"Gold",'Claims Data'!O2:O201)</f>
        <v>224482.44999999998</v>
      </c>
    </row>
    <row r="15" spans="1:6" x14ac:dyDescent="0.2">
      <c r="A15" s="11" t="s">
        <v>40</v>
      </c>
      <c r="B15" s="11">
        <f>COUNTIF('Claims Data'!E2:E201,"Silver")</f>
        <v>70</v>
      </c>
      <c r="C15" s="15">
        <f>SUMIF('Claims Data'!E2:E201,"Silver",'Claims Data'!O2:O201)</f>
        <v>250746.85000000006</v>
      </c>
    </row>
    <row r="16" spans="1:6" x14ac:dyDescent="0.2">
      <c r="A16" s="11" t="s">
        <v>31</v>
      </c>
      <c r="B16" s="11">
        <f>COUNTIF('Claims Data'!E2:E201,"Bronze")</f>
        <v>63</v>
      </c>
      <c r="C16" s="15">
        <f>SUMIF('Claims Data'!E2:E201,"Bronze",'Claims Data'!O2:O201)</f>
        <v>225537.94</v>
      </c>
    </row>
    <row r="18" spans="1:2" ht="20" customHeight="1" x14ac:dyDescent="0.2">
      <c r="A18" s="8" t="s">
        <v>469</v>
      </c>
    </row>
    <row r="19" spans="1:2" x14ac:dyDescent="0.2">
      <c r="A19" s="1" t="s">
        <v>10</v>
      </c>
      <c r="B19" s="1" t="s">
        <v>465</v>
      </c>
    </row>
    <row r="20" spans="1:2" x14ac:dyDescent="0.2">
      <c r="A20" s="16" t="s">
        <v>470</v>
      </c>
      <c r="B20" s="16" t="s">
        <v>471</v>
      </c>
    </row>
    <row r="21" spans="1:2" x14ac:dyDescent="0.2">
      <c r="A21" s="16" t="s">
        <v>470</v>
      </c>
      <c r="B21" s="16" t="s">
        <v>471</v>
      </c>
    </row>
    <row r="22" spans="1:2" x14ac:dyDescent="0.2">
      <c r="A22" s="16" t="s">
        <v>470</v>
      </c>
      <c r="B22" s="16" t="s">
        <v>471</v>
      </c>
    </row>
    <row r="23" spans="1:2" x14ac:dyDescent="0.2">
      <c r="A23" s="16" t="s">
        <v>470</v>
      </c>
      <c r="B23" s="16" t="s">
        <v>471</v>
      </c>
    </row>
    <row r="24" spans="1:2" x14ac:dyDescent="0.2">
      <c r="A24" s="16" t="s">
        <v>470</v>
      </c>
      <c r="B24" s="16" t="s">
        <v>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58"/>
  <sheetViews>
    <sheetView topLeftCell="A6" workbookViewId="0"/>
  </sheetViews>
  <sheetFormatPr baseColWidth="10" defaultColWidth="8.83203125" defaultRowHeight="15" x14ac:dyDescent="0.2"/>
  <cols>
    <col min="1" max="1" width="5" customWidth="1"/>
    <col min="2" max="2" width="70" customWidth="1"/>
  </cols>
  <sheetData>
    <row r="1" spans="2:2" ht="18" customHeight="1" x14ac:dyDescent="0.2">
      <c r="B1" s="17" t="s">
        <v>472</v>
      </c>
    </row>
    <row r="2" spans="2:2" ht="18" customHeight="1" x14ac:dyDescent="0.2">
      <c r="B2" s="18"/>
    </row>
    <row r="3" spans="2:2" ht="18" customHeight="1" x14ac:dyDescent="0.2">
      <c r="B3" s="19" t="s">
        <v>473</v>
      </c>
    </row>
    <row r="4" spans="2:2" ht="18" customHeight="1" x14ac:dyDescent="0.2">
      <c r="B4" s="18" t="s">
        <v>474</v>
      </c>
    </row>
    <row r="5" spans="2:2" ht="18" customHeight="1" x14ac:dyDescent="0.2">
      <c r="B5" s="18" t="s">
        <v>475</v>
      </c>
    </row>
    <row r="6" spans="2:2" ht="18" customHeight="1" x14ac:dyDescent="0.2">
      <c r="B6" s="18" t="s">
        <v>476</v>
      </c>
    </row>
    <row r="7" spans="2:2" ht="18" customHeight="1" x14ac:dyDescent="0.2">
      <c r="B7" s="18"/>
    </row>
    <row r="8" spans="2:2" ht="18" customHeight="1" x14ac:dyDescent="0.2">
      <c r="B8" s="19" t="s">
        <v>477</v>
      </c>
    </row>
    <row r="9" spans="2:2" ht="18" customHeight="1" x14ac:dyDescent="0.2">
      <c r="B9" s="18" t="s">
        <v>478</v>
      </c>
    </row>
    <row r="10" spans="2:2" ht="18" customHeight="1" x14ac:dyDescent="0.2">
      <c r="B10" s="18" t="s">
        <v>479</v>
      </c>
    </row>
    <row r="11" spans="2:2" ht="18" customHeight="1" x14ac:dyDescent="0.2">
      <c r="B11" s="18" t="s">
        <v>480</v>
      </c>
    </row>
    <row r="12" spans="2:2" ht="18" customHeight="1" x14ac:dyDescent="0.2">
      <c r="B12" s="18" t="s">
        <v>481</v>
      </c>
    </row>
    <row r="13" spans="2:2" ht="18" customHeight="1" x14ac:dyDescent="0.2">
      <c r="B13" s="18" t="s">
        <v>482</v>
      </c>
    </row>
    <row r="14" spans="2:2" ht="18" customHeight="1" x14ac:dyDescent="0.2">
      <c r="B14" s="18"/>
    </row>
    <row r="15" spans="2:2" ht="18" customHeight="1" x14ac:dyDescent="0.2">
      <c r="B15" s="19" t="s">
        <v>483</v>
      </c>
    </row>
    <row r="16" spans="2:2" ht="18" customHeight="1" x14ac:dyDescent="0.2">
      <c r="B16" s="18" t="s">
        <v>484</v>
      </c>
    </row>
    <row r="17" spans="2:2" ht="18" customHeight="1" x14ac:dyDescent="0.2">
      <c r="B17" s="18" t="s">
        <v>485</v>
      </c>
    </row>
    <row r="18" spans="2:2" ht="18" customHeight="1" x14ac:dyDescent="0.2">
      <c r="B18" s="18" t="s">
        <v>486</v>
      </c>
    </row>
    <row r="19" spans="2:2" ht="18" customHeight="1" x14ac:dyDescent="0.2">
      <c r="B19" s="18" t="s">
        <v>487</v>
      </c>
    </row>
    <row r="20" spans="2:2" ht="18" customHeight="1" x14ac:dyDescent="0.2">
      <c r="B20" s="18" t="s">
        <v>488</v>
      </c>
    </row>
    <row r="21" spans="2:2" ht="18" customHeight="1" x14ac:dyDescent="0.2">
      <c r="B21" s="18"/>
    </row>
    <row r="22" spans="2:2" ht="18" customHeight="1" x14ac:dyDescent="0.2">
      <c r="B22" s="19" t="s">
        <v>489</v>
      </c>
    </row>
    <row r="23" spans="2:2" ht="18" customHeight="1" x14ac:dyDescent="0.2">
      <c r="B23" s="18" t="s">
        <v>490</v>
      </c>
    </row>
    <row r="24" spans="2:2" ht="18" customHeight="1" x14ac:dyDescent="0.2">
      <c r="B24" s="18" t="s">
        <v>491</v>
      </c>
    </row>
    <row r="25" spans="2:2" ht="18" customHeight="1" x14ac:dyDescent="0.2">
      <c r="B25" s="18" t="s">
        <v>492</v>
      </c>
    </row>
    <row r="26" spans="2:2" ht="18" customHeight="1" x14ac:dyDescent="0.2">
      <c r="B26" s="18" t="s">
        <v>493</v>
      </c>
    </row>
    <row r="27" spans="2:2" ht="18" customHeight="1" x14ac:dyDescent="0.2">
      <c r="B27" s="18" t="s">
        <v>494</v>
      </c>
    </row>
    <row r="28" spans="2:2" ht="18" customHeight="1" x14ac:dyDescent="0.2">
      <c r="B28" s="18" t="s">
        <v>495</v>
      </c>
    </row>
    <row r="29" spans="2:2" ht="18" customHeight="1" x14ac:dyDescent="0.2">
      <c r="B29" s="18" t="s">
        <v>496</v>
      </c>
    </row>
    <row r="30" spans="2:2" ht="18" customHeight="1" x14ac:dyDescent="0.2">
      <c r="B30" s="18"/>
    </row>
    <row r="31" spans="2:2" ht="18" customHeight="1" x14ac:dyDescent="0.2">
      <c r="B31" s="19" t="s">
        <v>497</v>
      </c>
    </row>
    <row r="32" spans="2:2" ht="18" customHeight="1" x14ac:dyDescent="0.2">
      <c r="B32" s="18" t="s">
        <v>498</v>
      </c>
    </row>
    <row r="33" spans="2:2" ht="18" customHeight="1" x14ac:dyDescent="0.2">
      <c r="B33" s="18" t="s">
        <v>499</v>
      </c>
    </row>
    <row r="34" spans="2:2" ht="18" customHeight="1" x14ac:dyDescent="0.2">
      <c r="B34" s="18" t="s">
        <v>500</v>
      </c>
    </row>
    <row r="35" spans="2:2" ht="18" customHeight="1" x14ac:dyDescent="0.2">
      <c r="B35" s="18" t="s">
        <v>501</v>
      </c>
    </row>
    <row r="36" spans="2:2" ht="18" customHeight="1" x14ac:dyDescent="0.2">
      <c r="B36" s="18" t="s">
        <v>502</v>
      </c>
    </row>
    <row r="37" spans="2:2" ht="18" customHeight="1" x14ac:dyDescent="0.2">
      <c r="B37" s="18"/>
    </row>
    <row r="38" spans="2:2" ht="18" customHeight="1" x14ac:dyDescent="0.2">
      <c r="B38" s="19" t="s">
        <v>503</v>
      </c>
    </row>
    <row r="39" spans="2:2" ht="18" customHeight="1" x14ac:dyDescent="0.2">
      <c r="B39" s="18" t="s">
        <v>504</v>
      </c>
    </row>
    <row r="40" spans="2:2" ht="18" customHeight="1" x14ac:dyDescent="0.2">
      <c r="B40" s="18" t="s">
        <v>505</v>
      </c>
    </row>
    <row r="41" spans="2:2" ht="18" customHeight="1" x14ac:dyDescent="0.2">
      <c r="B41" s="18" t="s">
        <v>506</v>
      </c>
    </row>
    <row r="42" spans="2:2" ht="18" customHeight="1" x14ac:dyDescent="0.2">
      <c r="B42" s="18" t="s">
        <v>507</v>
      </c>
    </row>
    <row r="43" spans="2:2" ht="18" customHeight="1" x14ac:dyDescent="0.2">
      <c r="B43" s="18" t="s">
        <v>508</v>
      </c>
    </row>
    <row r="44" spans="2:2" ht="18" customHeight="1" x14ac:dyDescent="0.2">
      <c r="B44" s="18" t="s">
        <v>509</v>
      </c>
    </row>
    <row r="45" spans="2:2" ht="18" customHeight="1" x14ac:dyDescent="0.2">
      <c r="B45" s="18"/>
    </row>
    <row r="46" spans="2:2" ht="18" customHeight="1" x14ac:dyDescent="0.2">
      <c r="B46" s="19" t="s">
        <v>510</v>
      </c>
    </row>
    <row r="47" spans="2:2" ht="18" customHeight="1" x14ac:dyDescent="0.2">
      <c r="B47" s="18" t="s">
        <v>511</v>
      </c>
    </row>
    <row r="48" spans="2:2" ht="18" customHeight="1" x14ac:dyDescent="0.2">
      <c r="B48" s="18" t="s">
        <v>512</v>
      </c>
    </row>
    <row r="49" spans="2:2" ht="18" customHeight="1" x14ac:dyDescent="0.2">
      <c r="B49" s="18" t="s">
        <v>513</v>
      </c>
    </row>
    <row r="50" spans="2:2" ht="18" customHeight="1" x14ac:dyDescent="0.2">
      <c r="B50" s="18" t="s">
        <v>514</v>
      </c>
    </row>
    <row r="51" spans="2:2" ht="18" customHeight="1" x14ac:dyDescent="0.2">
      <c r="B51" s="18"/>
    </row>
    <row r="52" spans="2:2" ht="18" customHeight="1" x14ac:dyDescent="0.2">
      <c r="B52" s="17" t="s">
        <v>515</v>
      </c>
    </row>
    <row r="53" spans="2:2" ht="18" customHeight="1" x14ac:dyDescent="0.2">
      <c r="B53" s="18" t="s">
        <v>516</v>
      </c>
    </row>
    <row r="54" spans="2:2" ht="18" customHeight="1" x14ac:dyDescent="0.2">
      <c r="B54" s="18" t="s">
        <v>517</v>
      </c>
    </row>
    <row r="55" spans="2:2" ht="18" customHeight="1" x14ac:dyDescent="0.2">
      <c r="B55" s="18" t="s">
        <v>518</v>
      </c>
    </row>
    <row r="56" spans="2:2" ht="18" customHeight="1" x14ac:dyDescent="0.2">
      <c r="B56" s="18" t="s">
        <v>519</v>
      </c>
    </row>
    <row r="57" spans="2:2" ht="18" customHeight="1" x14ac:dyDescent="0.2">
      <c r="B57" s="18" t="s">
        <v>520</v>
      </c>
    </row>
    <row r="58" spans="2:2" ht="18" customHeight="1" x14ac:dyDescent="0.2">
      <c r="B58" s="18" t="s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 Data</vt:lpstr>
      <vt:lpstr>Summary Dashboard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Mugabe</cp:lastModifiedBy>
  <dcterms:created xsi:type="dcterms:W3CDTF">2026-04-26T17:50:01Z</dcterms:created>
  <dcterms:modified xsi:type="dcterms:W3CDTF">2026-04-28T18:03:29Z</dcterms:modified>
</cp:coreProperties>
</file>