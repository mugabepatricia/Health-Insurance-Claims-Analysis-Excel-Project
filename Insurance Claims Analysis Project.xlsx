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202300"/>
  <mc:AlternateContent xmlns:mc="http://schemas.openxmlformats.org/markup-compatibility/2006">
    <mc:Choice Requires="x15">
      <x15ac:absPath xmlns:x15ac="http://schemas.microsoft.com/office/spreadsheetml/2010/11/ac" url="/Users/patriciamugisha/Downloads/Portfolio Projects by me/Insurance Claims Excel Project/"/>
    </mc:Choice>
  </mc:AlternateContent>
  <xr:revisionPtr revIDLastSave="0" documentId="13_ncr:1_{9826EE03-CAF2-6340-81D7-A075B2C1D48A}" xr6:coauthVersionLast="47" xr6:coauthVersionMax="47" xr10:uidLastSave="{00000000-0000-0000-0000-000000000000}"/>
  <bookViews>
    <workbookView xWindow="0" yWindow="0" windowWidth="28800" windowHeight="18000" xr2:uid="{88BC3ECE-49BF-F243-81B1-DB3E9D7B2C1B}"/>
  </bookViews>
  <sheets>
    <sheet name="Dashboard" sheetId="3" r:id="rId1"/>
    <sheet name="Pivot tables" sheetId="2" r:id="rId2"/>
    <sheet name="Claims_Data" sheetId="1" r:id="rId3"/>
  </sheets>
  <definedNames>
    <definedName name="NativeTimeline_Service_Date">#N/A</definedName>
    <definedName name="Slicer_Diagnosis">#N/A</definedName>
    <definedName name="Slicer_Gender">#N/A</definedName>
    <definedName name="Slicer_Plan">#N/A</definedName>
  </definedNames>
  <calcPr calcId="191029"/>
  <pivotCaches>
    <pivotCache cacheId="5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alcChain>
</file>

<file path=xl/sharedStrings.xml><?xml version="1.0" encoding="utf-8"?>
<sst xmlns="http://schemas.openxmlformats.org/spreadsheetml/2006/main" count="2310" uniqueCount="340">
  <si>
    <t>Claim ID</t>
  </si>
  <si>
    <t>Member ID</t>
  </si>
  <si>
    <t>Age</t>
  </si>
  <si>
    <t>Gender</t>
  </si>
  <si>
    <t>Plan</t>
  </si>
  <si>
    <t>Provider ID</t>
  </si>
  <si>
    <t>Provider Name</t>
  </si>
  <si>
    <t>Provider Type</t>
  </si>
  <si>
    <t>Service Date</t>
  </si>
  <si>
    <t>ICD-10 Code</t>
  </si>
  <si>
    <t>Diagnosis</t>
  </si>
  <si>
    <t>Billed Amount ($)</t>
  </si>
  <si>
    <t>Allowed Amount ($)</t>
  </si>
  <si>
    <t>Member Copay ($)</t>
  </si>
  <si>
    <t>Paid Amount ($)</t>
  </si>
  <si>
    <t>Claim Status</t>
  </si>
  <si>
    <t>Prior Auth Required</t>
  </si>
  <si>
    <t>CLM00001</t>
  </si>
  <si>
    <t>M0006</t>
  </si>
  <si>
    <t>F</t>
  </si>
  <si>
    <t>Gold</t>
  </si>
  <si>
    <t>PV001</t>
  </si>
  <si>
    <t>City General Hospital</t>
  </si>
  <si>
    <t>Inpatient</t>
  </si>
  <si>
    <t>E11.9</t>
  </si>
  <si>
    <t>Type 2 Diabetes</t>
  </si>
  <si>
    <t>Pending</t>
  </si>
  <si>
    <t>Yes</t>
  </si>
  <si>
    <t>CLM00002</t>
  </si>
  <si>
    <t>M0027</t>
  </si>
  <si>
    <t>Bronze</t>
  </si>
  <si>
    <t>PV002</t>
  </si>
  <si>
    <t>Westside Clinic</t>
  </si>
  <si>
    <t>Outpatient</t>
  </si>
  <si>
    <t>M54.5</t>
  </si>
  <si>
    <t>Low Back Pain</t>
  </si>
  <si>
    <t>CLM00003</t>
  </si>
  <si>
    <t>M</t>
  </si>
  <si>
    <t>Silver</t>
  </si>
  <si>
    <t>PV004</t>
  </si>
  <si>
    <t>Northpark Family Practice</t>
  </si>
  <si>
    <t>I10</t>
  </si>
  <si>
    <t>Hypertension</t>
  </si>
  <si>
    <t>Approved</t>
  </si>
  <si>
    <t>No</t>
  </si>
  <si>
    <t>CLM00004</t>
  </si>
  <si>
    <t>PV003</t>
  </si>
  <si>
    <t>Metro ER</t>
  </si>
  <si>
    <t>Emergency</t>
  </si>
  <si>
    <t>S52.501A</t>
  </si>
  <si>
    <t>Forearm Fracture</t>
  </si>
  <si>
    <t>Denied</t>
  </si>
  <si>
    <t>CLM00005</t>
  </si>
  <si>
    <t>M0015</t>
  </si>
  <si>
    <t>CLM00006</t>
  </si>
  <si>
    <t>M0039</t>
  </si>
  <si>
    <t>CLM00007</t>
  </si>
  <si>
    <t>M0044</t>
  </si>
  <si>
    <t>CLM00008</t>
  </si>
  <si>
    <t>M0014</t>
  </si>
  <si>
    <t>K21.0</t>
  </si>
  <si>
    <t>GERD</t>
  </si>
  <si>
    <t>CLM00009</t>
  </si>
  <si>
    <t>M0028</t>
  </si>
  <si>
    <t>CLM00010</t>
  </si>
  <si>
    <t>Z23</t>
  </si>
  <si>
    <t>Vaccination</t>
  </si>
  <si>
    <t>CLM00011</t>
  </si>
  <si>
    <t>M0049</t>
  </si>
  <si>
    <t>CLM00012</t>
  </si>
  <si>
    <t>CLM00013</t>
  </si>
  <si>
    <t>CLM00014</t>
  </si>
  <si>
    <t>M0005</t>
  </si>
  <si>
    <t>J45.909</t>
  </si>
  <si>
    <t>Asthma</t>
  </si>
  <si>
    <t>CLM00015</t>
  </si>
  <si>
    <t>CLM00016</t>
  </si>
  <si>
    <t>M0038</t>
  </si>
  <si>
    <t>CLM00017</t>
  </si>
  <si>
    <t>M0016</t>
  </si>
  <si>
    <t>CLM00018</t>
  </si>
  <si>
    <t>M0007</t>
  </si>
  <si>
    <t>PV005</t>
  </si>
  <si>
    <t>Southside Specialists</t>
  </si>
  <si>
    <t>CLM00019</t>
  </si>
  <si>
    <t>N39.0</t>
  </si>
  <si>
    <t>UTI</t>
  </si>
  <si>
    <t>CLM00020</t>
  </si>
  <si>
    <t>M0036</t>
  </si>
  <si>
    <t>CLM00021</t>
  </si>
  <si>
    <t>M0011</t>
  </si>
  <si>
    <t>CLM00022</t>
  </si>
  <si>
    <t>M0010</t>
  </si>
  <si>
    <t>CLM00023</t>
  </si>
  <si>
    <t>M0004</t>
  </si>
  <si>
    <t>CLM00024</t>
  </si>
  <si>
    <t>M0040</t>
  </si>
  <si>
    <t>CLM00025</t>
  </si>
  <si>
    <t>M0030</t>
  </si>
  <si>
    <t>CLM00026</t>
  </si>
  <si>
    <t>CLM00027</t>
  </si>
  <si>
    <t>M0009</t>
  </si>
  <si>
    <t>CLM00028</t>
  </si>
  <si>
    <t>M0033</t>
  </si>
  <si>
    <t>CLM00029</t>
  </si>
  <si>
    <t>M0048</t>
  </si>
  <si>
    <t>CLM00030</t>
  </si>
  <si>
    <t>CLM00031</t>
  </si>
  <si>
    <t>CLM00032</t>
  </si>
  <si>
    <t>M0043</t>
  </si>
  <si>
    <t>CLM00033</t>
  </si>
  <si>
    <t>F32.9</t>
  </si>
  <si>
    <t>Depression</t>
  </si>
  <si>
    <t>CLM00034</t>
  </si>
  <si>
    <t>CLM00035</t>
  </si>
  <si>
    <t>CLM00036</t>
  </si>
  <si>
    <t>M0024</t>
  </si>
  <si>
    <t>CLM00037</t>
  </si>
  <si>
    <t>CLM00038</t>
  </si>
  <si>
    <t>CLM00039</t>
  </si>
  <si>
    <t>M0019</t>
  </si>
  <si>
    <t>CLM00040</t>
  </si>
  <si>
    <t>M0050</t>
  </si>
  <si>
    <t>CLM00041</t>
  </si>
  <si>
    <t>CLM00042</t>
  </si>
  <si>
    <t>J06.9</t>
  </si>
  <si>
    <t>Upper Respiratory Infection</t>
  </si>
  <si>
    <t>CLM00043</t>
  </si>
  <si>
    <t>M0041</t>
  </si>
  <si>
    <t>CLM00044</t>
  </si>
  <si>
    <t>CLM00045</t>
  </si>
  <si>
    <t>CLM00046</t>
  </si>
  <si>
    <t>M0035</t>
  </si>
  <si>
    <t>CLM00047</t>
  </si>
  <si>
    <t>CLM00048</t>
  </si>
  <si>
    <t>CLM00049</t>
  </si>
  <si>
    <t>M0023</t>
  </si>
  <si>
    <t>CLM00050</t>
  </si>
  <si>
    <t>M0037</t>
  </si>
  <si>
    <t>CLM00051</t>
  </si>
  <si>
    <t>M0020</t>
  </si>
  <si>
    <t>CLM00052</t>
  </si>
  <si>
    <t>CLM00053</t>
  </si>
  <si>
    <t>CLM00054</t>
  </si>
  <si>
    <t>CLM00055</t>
  </si>
  <si>
    <t>CLM00056</t>
  </si>
  <si>
    <t>M0045</t>
  </si>
  <si>
    <t>CLM00057</t>
  </si>
  <si>
    <t>M0029</t>
  </si>
  <si>
    <t>CLM00058</t>
  </si>
  <si>
    <t>CLM00059</t>
  </si>
  <si>
    <t>CLM00060</t>
  </si>
  <si>
    <t>CLM00061</t>
  </si>
  <si>
    <t>CLM00062</t>
  </si>
  <si>
    <t>M0026</t>
  </si>
  <si>
    <t>CLM00063</t>
  </si>
  <si>
    <t>CLM00064</t>
  </si>
  <si>
    <t>CLM00065</t>
  </si>
  <si>
    <t>CLM00066</t>
  </si>
  <si>
    <t>CLM00067</t>
  </si>
  <si>
    <t>CLM00068</t>
  </si>
  <si>
    <t>CLM00069</t>
  </si>
  <si>
    <t>CLM00070</t>
  </si>
  <si>
    <t>CLM00071</t>
  </si>
  <si>
    <t>M0003</t>
  </si>
  <si>
    <t>CLM00072</t>
  </si>
  <si>
    <t>CLM00073</t>
  </si>
  <si>
    <t>M0008</t>
  </si>
  <si>
    <t>CLM00074</t>
  </si>
  <si>
    <t>CLM00075</t>
  </si>
  <si>
    <t>CLM00076</t>
  </si>
  <si>
    <t>CLM00077</t>
  </si>
  <si>
    <t>CLM00078</t>
  </si>
  <si>
    <t>M0025</t>
  </si>
  <si>
    <t>CLM00079</t>
  </si>
  <si>
    <t>CLM00080</t>
  </si>
  <si>
    <t>CLM00081</t>
  </si>
  <si>
    <t>CLM00082</t>
  </si>
  <si>
    <t>CLM00083</t>
  </si>
  <si>
    <t>CLM00084</t>
  </si>
  <si>
    <t>CLM00085</t>
  </si>
  <si>
    <t>M0013</t>
  </si>
  <si>
    <t>CLM00086</t>
  </si>
  <si>
    <t>M0018</t>
  </si>
  <si>
    <t>CLM00087</t>
  </si>
  <si>
    <t>CLM00088</t>
  </si>
  <si>
    <t>M0021</t>
  </si>
  <si>
    <t>CLM00089</t>
  </si>
  <si>
    <t>CLM00090</t>
  </si>
  <si>
    <t>CLM00091</t>
  </si>
  <si>
    <t>CLM00092</t>
  </si>
  <si>
    <t>M0042</t>
  </si>
  <si>
    <t>CLM00093</t>
  </si>
  <si>
    <t>CLM00094</t>
  </si>
  <si>
    <t>CLM00095</t>
  </si>
  <si>
    <t>CLM00096</t>
  </si>
  <si>
    <t>CLM00097</t>
  </si>
  <si>
    <t>CLM00098</t>
  </si>
  <si>
    <t>M0017</t>
  </si>
  <si>
    <t>CLM00099</t>
  </si>
  <si>
    <t>CLM00100</t>
  </si>
  <si>
    <t>M0032</t>
  </si>
  <si>
    <t>CLM00101</t>
  </si>
  <si>
    <t>CLM00102</t>
  </si>
  <si>
    <t>CLM00103</t>
  </si>
  <si>
    <t>CLM00104</t>
  </si>
  <si>
    <t>CLM00105</t>
  </si>
  <si>
    <t>CLM00106</t>
  </si>
  <si>
    <t>CLM00107</t>
  </si>
  <si>
    <t>M0012</t>
  </si>
  <si>
    <t>CLM00108</t>
  </si>
  <si>
    <t>M0047</t>
  </si>
  <si>
    <t>CLM00109</t>
  </si>
  <si>
    <t>CLM00110</t>
  </si>
  <si>
    <t>CLM00111</t>
  </si>
  <si>
    <t>M0001</t>
  </si>
  <si>
    <t>CLM00112</t>
  </si>
  <si>
    <t>CLM00113</t>
  </si>
  <si>
    <t>CLM00114</t>
  </si>
  <si>
    <t>CLM00115</t>
  </si>
  <si>
    <t>CLM00116</t>
  </si>
  <si>
    <t>CLM00117</t>
  </si>
  <si>
    <t>M0031</t>
  </si>
  <si>
    <t>CLM00118</t>
  </si>
  <si>
    <t>CLM00119</t>
  </si>
  <si>
    <t>CLM00120</t>
  </si>
  <si>
    <t>CLM00121</t>
  </si>
  <si>
    <t>CLM00122</t>
  </si>
  <si>
    <t>CLM00123</t>
  </si>
  <si>
    <t>CLM00124</t>
  </si>
  <si>
    <t>CLM00125</t>
  </si>
  <si>
    <t>CLM00126</t>
  </si>
  <si>
    <t>CLM00127</t>
  </si>
  <si>
    <t>CLM00128</t>
  </si>
  <si>
    <t>CLM00129</t>
  </si>
  <si>
    <t>CLM00130</t>
  </si>
  <si>
    <t>CLM00131</t>
  </si>
  <si>
    <t>CLM00132</t>
  </si>
  <si>
    <t>CLM00133</t>
  </si>
  <si>
    <t>CLM00134</t>
  </si>
  <si>
    <t>CLM00135</t>
  </si>
  <si>
    <t>CLM00136</t>
  </si>
  <si>
    <t>CLM00137</t>
  </si>
  <si>
    <t>CLM00138</t>
  </si>
  <si>
    <t>CLM00139</t>
  </si>
  <si>
    <t>CLM00140</t>
  </si>
  <si>
    <t>CLM00141</t>
  </si>
  <si>
    <t>CLM00142</t>
  </si>
  <si>
    <t>CLM00143</t>
  </si>
  <si>
    <t>CLM00144</t>
  </si>
  <si>
    <t>CLM00145</t>
  </si>
  <si>
    <t>CLM00146</t>
  </si>
  <si>
    <t>CLM00147</t>
  </si>
  <si>
    <t>CLM00148</t>
  </si>
  <si>
    <t>CLM00149</t>
  </si>
  <si>
    <t>CLM00150</t>
  </si>
  <si>
    <t>CLM00151</t>
  </si>
  <si>
    <t>CLM00152</t>
  </si>
  <si>
    <t>CLM00153</t>
  </si>
  <si>
    <t>CLM00154</t>
  </si>
  <si>
    <t>CLM00155</t>
  </si>
  <si>
    <t>CLM00156</t>
  </si>
  <si>
    <t>CLM00157</t>
  </si>
  <si>
    <t>CLM00158</t>
  </si>
  <si>
    <t>CLM00159</t>
  </si>
  <si>
    <t>CLM00160</t>
  </si>
  <si>
    <t>CLM00161</t>
  </si>
  <si>
    <t>CLM00162</t>
  </si>
  <si>
    <t>CLM00163</t>
  </si>
  <si>
    <t>CLM00164</t>
  </si>
  <si>
    <t>CLM00165</t>
  </si>
  <si>
    <t>CLM00166</t>
  </si>
  <si>
    <t>CLM00167</t>
  </si>
  <si>
    <t>CLM00168</t>
  </si>
  <si>
    <t>CLM00169</t>
  </si>
  <si>
    <t>CLM00170</t>
  </si>
  <si>
    <t>CLM00171</t>
  </si>
  <si>
    <t>CLM00172</t>
  </si>
  <si>
    <t>CLM00173</t>
  </si>
  <si>
    <t>CLM00174</t>
  </si>
  <si>
    <t>CLM00175</t>
  </si>
  <si>
    <t>CLM00176</t>
  </si>
  <si>
    <t>CLM00177</t>
  </si>
  <si>
    <t>CLM00178</t>
  </si>
  <si>
    <t>CLM00179</t>
  </si>
  <si>
    <t>CLM00180</t>
  </si>
  <si>
    <t>CLM00181</t>
  </si>
  <si>
    <t>CLM00182</t>
  </si>
  <si>
    <t>CLM00183</t>
  </si>
  <si>
    <t>CLM00184</t>
  </si>
  <si>
    <t>CLM00185</t>
  </si>
  <si>
    <t>CLM00186</t>
  </si>
  <si>
    <t>CLM00187</t>
  </si>
  <si>
    <t>CLM00188</t>
  </si>
  <si>
    <t>CLM00189</t>
  </si>
  <si>
    <t>CLM00190</t>
  </si>
  <si>
    <t>CLM00191</t>
  </si>
  <si>
    <t>CLM00192</t>
  </si>
  <si>
    <t>M0034</t>
  </si>
  <si>
    <t>CLM00193</t>
  </si>
  <si>
    <t>CLM00194</t>
  </si>
  <si>
    <t>CLM00195</t>
  </si>
  <si>
    <t>CLM00196</t>
  </si>
  <si>
    <t>CLM00197</t>
  </si>
  <si>
    <t>CLM00198</t>
  </si>
  <si>
    <t>CLM00199</t>
  </si>
  <si>
    <t>CLM00200</t>
  </si>
  <si>
    <t>Row Labels</t>
  </si>
  <si>
    <t>Grand Total</t>
  </si>
  <si>
    <t>Count of Member ID</t>
  </si>
  <si>
    <t>Number of Members per Insurance Company</t>
  </si>
  <si>
    <t>Column Labels</t>
  </si>
  <si>
    <t>Count of Claim ID</t>
  </si>
  <si>
    <t>Claim Status by Diagnosis</t>
  </si>
  <si>
    <t>Sum of Billed Amount ($)</t>
  </si>
  <si>
    <t>Sum of Paid Amount ($)</t>
  </si>
  <si>
    <t>Write-off Rate</t>
  </si>
  <si>
    <t>Average of Write-off Rate</t>
  </si>
  <si>
    <t>Write-off Rate by Provider Type</t>
  </si>
  <si>
    <t>Prior Auth vs Claim Status</t>
  </si>
  <si>
    <t>Month</t>
  </si>
  <si>
    <t>Jan</t>
  </si>
  <si>
    <t>Feb</t>
  </si>
  <si>
    <t>Mar</t>
  </si>
  <si>
    <t>Apr</t>
  </si>
  <si>
    <t>May</t>
  </si>
  <si>
    <t>Jun</t>
  </si>
  <si>
    <t>Jul</t>
  </si>
  <si>
    <t>Aug</t>
  </si>
  <si>
    <t>Sep</t>
  </si>
  <si>
    <t>Oct</t>
  </si>
  <si>
    <t>Nov</t>
  </si>
  <si>
    <t>Dec</t>
  </si>
  <si>
    <t>Claim Count by Month</t>
  </si>
  <si>
    <t>Top Members by Total Billed</t>
  </si>
  <si>
    <t>Billed vs Paid by Provider Type</t>
  </si>
  <si>
    <t>Total Billed Amount</t>
  </si>
  <si>
    <t>Total Paid Amount</t>
  </si>
  <si>
    <t>Sum of Allowed Amount ($)</t>
  </si>
  <si>
    <t>Total Allowed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</si>
</sst>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5" x14ac:knownFonts="1">
    <font>
      <sz val="12"/>
      <color theme="1"/>
      <name val="Aptos Narrow"/>
      <family val="2"/>
      <scheme val="minor"/>
    </font>
    <font>
      <sz val="12"/>
      <color theme="1"/>
      <name val="Aptos Narrow"/>
      <family val="2"/>
      <scheme val="minor"/>
    </font>
    <font>
      <b/>
      <sz val="10"/>
      <color rgb="FFFFFFFF"/>
      <name val="Arial"/>
      <family val="2"/>
    </font>
    <font>
      <sz val="10"/>
      <name val="Arial"/>
      <family val="2"/>
    </font>
    <font>
      <b/>
      <sz val="12"/>
      <color theme="1"/>
      <name val="Aptos Narrow"/>
      <scheme val="minor"/>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1F4E7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3" borderId="1" xfId="0" applyFont="1" applyFill="1" applyBorder="1" applyAlignment="1">
      <alignment vertical="center"/>
    </xf>
    <xf numFmtId="0" fontId="3" fillId="3" borderId="1" xfId="0" applyFont="1" applyFill="1" applyBorder="1" applyAlignment="1">
      <alignment horizontal="center"/>
    </xf>
    <xf numFmtId="4" fontId="3" fillId="3" borderId="1" xfId="0" applyNumberFormat="1" applyFont="1" applyFill="1" applyBorder="1" applyAlignment="1">
      <alignment horizontal="right"/>
    </xf>
    <xf numFmtId="0" fontId="3" fillId="0" borderId="1" xfId="0" applyFont="1" applyBorder="1" applyAlignment="1">
      <alignment vertical="center"/>
    </xf>
    <xf numFmtId="0" fontId="3" fillId="0" borderId="1" xfId="0" applyFont="1" applyBorder="1" applyAlignment="1">
      <alignment horizontal="center"/>
    </xf>
    <xf numFmtId="4" fontId="3" fillId="0" borderId="1" xfId="0" applyNumberFormat="1" applyFont="1" applyBorder="1" applyAlignment="1">
      <alignment horizontal="right"/>
    </xf>
    <xf numFmtId="0" fontId="3" fillId="3" borderId="2" xfId="0" applyFont="1" applyFill="1" applyBorder="1" applyAlignment="1">
      <alignment vertical="center"/>
    </xf>
    <xf numFmtId="0" fontId="3" fillId="0" borderId="2" xfId="0" applyFont="1" applyBorder="1" applyAlignment="1">
      <alignment vertical="center"/>
    </xf>
    <xf numFmtId="0" fontId="3" fillId="3" borderId="3" xfId="0" applyFont="1" applyFill="1" applyBorder="1" applyAlignment="1">
      <alignment vertical="center"/>
    </xf>
    <xf numFmtId="0" fontId="3" fillId="0" borderId="3" xfId="0" applyFont="1" applyBorder="1" applyAlignment="1">
      <alignment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8" xfId="0" applyFont="1" applyBorder="1" applyAlignment="1">
      <alignment horizontal="center"/>
    </xf>
    <xf numFmtId="4" fontId="3" fillId="0" borderId="8" xfId="0" applyNumberFormat="1" applyFont="1" applyBorder="1" applyAlignment="1">
      <alignment horizontal="right"/>
    </xf>
    <xf numFmtId="0" fontId="3" fillId="0" borderId="9" xfId="0" applyFont="1" applyBorder="1" applyAlignment="1">
      <alignment vertical="center"/>
    </xf>
    <xf numFmtId="164" fontId="2" fillId="2" borderId="5" xfId="0" applyNumberFormat="1" applyFont="1" applyFill="1" applyBorder="1" applyAlignment="1">
      <alignment horizontal="center" vertical="center" wrapText="1"/>
    </xf>
    <xf numFmtId="164" fontId="3" fillId="3" borderId="1" xfId="0" applyNumberFormat="1" applyFont="1" applyFill="1" applyBorder="1" applyAlignment="1">
      <alignment vertical="center"/>
    </xf>
    <xf numFmtId="164" fontId="3" fillId="0" borderId="1" xfId="0" applyNumberFormat="1" applyFont="1" applyBorder="1" applyAlignment="1">
      <alignment vertical="center"/>
    </xf>
    <xf numFmtId="164" fontId="3" fillId="0" borderId="8" xfId="0" applyNumberFormat="1" applyFont="1" applyBorder="1" applyAlignment="1">
      <alignment vertical="center"/>
    </xf>
    <xf numFmtId="164" fontId="0" fillId="0" borderId="0" xfId="0" applyNumberFormat="1"/>
    <xf numFmtId="0" fontId="0" fillId="0" borderId="0" xfId="0" pivotButton="1"/>
    <xf numFmtId="0" fontId="0" fillId="0" borderId="0" xfId="0" applyAlignment="1">
      <alignment horizontal="left"/>
    </xf>
    <xf numFmtId="0" fontId="4" fillId="0" borderId="0" xfId="0" applyFont="1" applyAlignment="1">
      <alignment horizontal="center"/>
    </xf>
    <xf numFmtId="4" fontId="0" fillId="0" borderId="0" xfId="0" applyNumberFormat="1"/>
    <xf numFmtId="9" fontId="2" fillId="4" borderId="5" xfId="1" applyFont="1" applyFill="1" applyBorder="1" applyAlignment="1">
      <alignment horizontal="center" vertical="center" wrapText="1"/>
    </xf>
    <xf numFmtId="9" fontId="3" fillId="0" borderId="5" xfId="1" applyFont="1" applyBorder="1" applyAlignment="1">
      <alignment horizontal="right"/>
    </xf>
    <xf numFmtId="9" fontId="3" fillId="0" borderId="1" xfId="1" applyFont="1" applyBorder="1" applyAlignment="1">
      <alignment horizontal="right"/>
    </xf>
    <xf numFmtId="9" fontId="3" fillId="0" borderId="8" xfId="1" applyFont="1" applyBorder="1" applyAlignment="1">
      <alignment horizontal="right"/>
    </xf>
    <xf numFmtId="9" fontId="0" fillId="0" borderId="0" xfId="1" applyFont="1"/>
    <xf numFmtId="9" fontId="0" fillId="0" borderId="0" xfId="0" applyNumberFormat="1"/>
    <xf numFmtId="0" fontId="4" fillId="0" borderId="0" xfId="0" applyFont="1" applyAlignment="1">
      <alignment horizontal="center"/>
    </xf>
  </cellXfs>
  <cellStyles count="2">
    <cellStyle name="Normal" xfId="0" builtinId="0"/>
    <cellStyle name="Per cent" xfId="1" builtinId="5"/>
  </cellStyles>
  <dxfs count="24">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4" formatCode="#,##0.0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4" formatCode="#,##0.0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4" formatCode="#,##0.0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4" formatCode="#,##0.0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dd\-mmm\-yyyy"/>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dd\-mmm\-yyyy"/>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1F4E79"/>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mruColors>
      <color rgb="FF4E8F00"/>
      <color rgb="FF0091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tables!Number of Members per Insurance Company</c:name>
    <c:fmtId val="6"/>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a:t>Number of Members per Insurance Company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chemeClr val="accent6">
              <a:lumMod val="75000"/>
            </a:schemeClr>
          </a:solidFill>
          <a:ln w="127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27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pct90">
            <a:fgClr>
              <a:schemeClr val="accent6">
                <a:lumMod val="75000"/>
              </a:schemeClr>
            </a:fgClr>
            <a:bgClr>
              <a:schemeClr val="bg1"/>
            </a:bgClr>
          </a:pattFill>
          <a:ln w="127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pattFill prst="pct90">
              <a:fgClr>
                <a:schemeClr val="accent6">
                  <a:lumMod val="75000"/>
                </a:schemeClr>
              </a:fgClr>
              <a:bgClr>
                <a:schemeClr val="bg1"/>
              </a:bgClr>
            </a:pattFill>
            <a:ln w="12700">
              <a:solidFill>
                <a:schemeClr val="bg1">
                  <a:lumMod val="95000"/>
                </a:schemeClr>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Northpark Family Practice</c:v>
                </c:pt>
                <c:pt idx="1">
                  <c:v>Westside Clinic</c:v>
                </c:pt>
                <c:pt idx="2">
                  <c:v>Metro ER</c:v>
                </c:pt>
                <c:pt idx="3">
                  <c:v>Southside Specialists</c:v>
                </c:pt>
                <c:pt idx="4">
                  <c:v>City General Hospital</c:v>
                </c:pt>
              </c:strCache>
            </c:strRef>
          </c:cat>
          <c:val>
            <c:numRef>
              <c:f>'Pivot tables'!$B$4:$B$9</c:f>
              <c:numCache>
                <c:formatCode>General</c:formatCode>
                <c:ptCount val="5"/>
                <c:pt idx="0">
                  <c:v>47</c:v>
                </c:pt>
                <c:pt idx="1">
                  <c:v>46</c:v>
                </c:pt>
                <c:pt idx="2">
                  <c:v>40</c:v>
                </c:pt>
                <c:pt idx="3">
                  <c:v>37</c:v>
                </c:pt>
                <c:pt idx="4">
                  <c:v>30</c:v>
                </c:pt>
              </c:numCache>
            </c:numRef>
          </c:val>
          <c:extLst>
            <c:ext xmlns:c16="http://schemas.microsoft.com/office/drawing/2014/chart" uri="{C3380CC4-5D6E-409C-BE32-E72D297353CC}">
              <c16:uniqueId val="{00000000-0217-364E-9B48-3D6B2F403BBE}"/>
            </c:ext>
          </c:extLst>
        </c:ser>
        <c:dLbls>
          <c:dLblPos val="outEnd"/>
          <c:showLegendKey val="0"/>
          <c:showVal val="1"/>
          <c:showCatName val="0"/>
          <c:showSerName val="0"/>
          <c:showPercent val="0"/>
          <c:showBubbleSize val="0"/>
        </c:dLbls>
        <c:gapWidth val="219"/>
        <c:axId val="1140766272"/>
        <c:axId val="1140761344"/>
      </c:barChart>
      <c:catAx>
        <c:axId val="1140766272"/>
        <c:scaling>
          <c:orientation val="minMax"/>
        </c:scaling>
        <c:delete val="0"/>
        <c:axPos val="b"/>
        <c:numFmt formatCode="General" sourceLinked="1"/>
        <c:majorTickMark val="none"/>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140761344"/>
        <c:crosses val="autoZero"/>
        <c:auto val="1"/>
        <c:lblAlgn val="ctr"/>
        <c:lblOffset val="100"/>
        <c:noMultiLvlLbl val="0"/>
      </c:catAx>
      <c:valAx>
        <c:axId val="1140761344"/>
        <c:scaling>
          <c:orientation val="minMax"/>
        </c:scaling>
        <c:delete val="1"/>
        <c:axPos val="l"/>
        <c:numFmt formatCode="General" sourceLinked="1"/>
        <c:majorTickMark val="none"/>
        <c:minorTickMark val="none"/>
        <c:tickLblPos val="nextTo"/>
        <c:crossAx val="114076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tables!Claim Status by Diagnosis</c:name>
    <c:fmtId val="8"/>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GB"/>
              <a:t>Claim Status by Diagnosis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tables'!$B$13:$B$14</c:f>
              <c:strCache>
                <c:ptCount val="1"/>
                <c:pt idx="0">
                  <c:v>Approved</c:v>
                </c:pt>
              </c:strCache>
            </c:strRef>
          </c:tx>
          <c:spPr>
            <a:solidFill>
              <a:srgbClr val="00B050"/>
            </a:solidFill>
            <a:ln>
              <a:noFill/>
            </a:ln>
            <a:effectLst/>
          </c:spPr>
          <c:invertIfNegative val="0"/>
          <c:cat>
            <c:strRef>
              <c:f>'Pivot tables'!$A$15:$A$25</c:f>
              <c:strCache>
                <c:ptCount val="10"/>
                <c:pt idx="0">
                  <c:v>Upper Respiratory Infection</c:v>
                </c:pt>
                <c:pt idx="1">
                  <c:v>Depression</c:v>
                </c:pt>
                <c:pt idx="2">
                  <c:v>UTI</c:v>
                </c:pt>
                <c:pt idx="3">
                  <c:v>Forearm Fracture</c:v>
                </c:pt>
                <c:pt idx="4">
                  <c:v>Vaccination</c:v>
                </c:pt>
                <c:pt idx="5">
                  <c:v>Low Back Pain</c:v>
                </c:pt>
                <c:pt idx="6">
                  <c:v>Asthma</c:v>
                </c:pt>
                <c:pt idx="7">
                  <c:v>Type 2 Diabetes</c:v>
                </c:pt>
                <c:pt idx="8">
                  <c:v>Hypertension</c:v>
                </c:pt>
                <c:pt idx="9">
                  <c:v>GERD</c:v>
                </c:pt>
              </c:strCache>
            </c:strRef>
          </c:cat>
          <c:val>
            <c:numRef>
              <c:f>'Pivot tables'!$B$15:$B$25</c:f>
              <c:numCache>
                <c:formatCode>General</c:formatCode>
                <c:ptCount val="10"/>
                <c:pt idx="0">
                  <c:v>6</c:v>
                </c:pt>
                <c:pt idx="1">
                  <c:v>10</c:v>
                </c:pt>
                <c:pt idx="2">
                  <c:v>8</c:v>
                </c:pt>
                <c:pt idx="3">
                  <c:v>13</c:v>
                </c:pt>
                <c:pt idx="4">
                  <c:v>9</c:v>
                </c:pt>
                <c:pt idx="5">
                  <c:v>8</c:v>
                </c:pt>
                <c:pt idx="6">
                  <c:v>13</c:v>
                </c:pt>
                <c:pt idx="7">
                  <c:v>15</c:v>
                </c:pt>
                <c:pt idx="8">
                  <c:v>10</c:v>
                </c:pt>
                <c:pt idx="9">
                  <c:v>26</c:v>
                </c:pt>
              </c:numCache>
            </c:numRef>
          </c:val>
          <c:extLst>
            <c:ext xmlns:c16="http://schemas.microsoft.com/office/drawing/2014/chart" uri="{C3380CC4-5D6E-409C-BE32-E72D297353CC}">
              <c16:uniqueId val="{00000000-2A11-8E4F-841B-ED4ECB93720A}"/>
            </c:ext>
          </c:extLst>
        </c:ser>
        <c:ser>
          <c:idx val="1"/>
          <c:order val="1"/>
          <c:tx>
            <c:strRef>
              <c:f>'Pivot tables'!$C$13:$C$14</c:f>
              <c:strCache>
                <c:ptCount val="1"/>
                <c:pt idx="0">
                  <c:v>Denied</c:v>
                </c:pt>
              </c:strCache>
            </c:strRef>
          </c:tx>
          <c:spPr>
            <a:solidFill>
              <a:srgbClr val="FF0000"/>
            </a:solidFill>
            <a:ln>
              <a:noFill/>
            </a:ln>
            <a:effectLst/>
          </c:spPr>
          <c:invertIfNegative val="0"/>
          <c:cat>
            <c:strRef>
              <c:f>'Pivot tables'!$A$15:$A$25</c:f>
              <c:strCache>
                <c:ptCount val="10"/>
                <c:pt idx="0">
                  <c:v>Upper Respiratory Infection</c:v>
                </c:pt>
                <c:pt idx="1">
                  <c:v>Depression</c:v>
                </c:pt>
                <c:pt idx="2">
                  <c:v>UTI</c:v>
                </c:pt>
                <c:pt idx="3">
                  <c:v>Forearm Fracture</c:v>
                </c:pt>
                <c:pt idx="4">
                  <c:v>Vaccination</c:v>
                </c:pt>
                <c:pt idx="5">
                  <c:v>Low Back Pain</c:v>
                </c:pt>
                <c:pt idx="6">
                  <c:v>Asthma</c:v>
                </c:pt>
                <c:pt idx="7">
                  <c:v>Type 2 Diabetes</c:v>
                </c:pt>
                <c:pt idx="8">
                  <c:v>Hypertension</c:v>
                </c:pt>
                <c:pt idx="9">
                  <c:v>GERD</c:v>
                </c:pt>
              </c:strCache>
            </c:strRef>
          </c:cat>
          <c:val>
            <c:numRef>
              <c:f>'Pivot tables'!$C$15:$C$25</c:f>
              <c:numCache>
                <c:formatCode>General</c:formatCode>
                <c:ptCount val="10"/>
                <c:pt idx="0">
                  <c:v>3</c:v>
                </c:pt>
                <c:pt idx="1">
                  <c:v>2</c:v>
                </c:pt>
                <c:pt idx="2">
                  <c:v>4</c:v>
                </c:pt>
                <c:pt idx="3">
                  <c:v>2</c:v>
                </c:pt>
                <c:pt idx="4">
                  <c:v>3</c:v>
                </c:pt>
                <c:pt idx="5">
                  <c:v>6</c:v>
                </c:pt>
                <c:pt idx="6">
                  <c:v>6</c:v>
                </c:pt>
                <c:pt idx="7">
                  <c:v>4</c:v>
                </c:pt>
                <c:pt idx="8">
                  <c:v>7</c:v>
                </c:pt>
                <c:pt idx="9">
                  <c:v>3</c:v>
                </c:pt>
              </c:numCache>
            </c:numRef>
          </c:val>
          <c:extLst>
            <c:ext xmlns:c16="http://schemas.microsoft.com/office/drawing/2014/chart" uri="{C3380CC4-5D6E-409C-BE32-E72D297353CC}">
              <c16:uniqueId val="{00000001-2A11-8E4F-841B-ED4ECB93720A}"/>
            </c:ext>
          </c:extLst>
        </c:ser>
        <c:ser>
          <c:idx val="2"/>
          <c:order val="2"/>
          <c:tx>
            <c:strRef>
              <c:f>'Pivot tables'!$D$13:$D$14</c:f>
              <c:strCache>
                <c:ptCount val="1"/>
                <c:pt idx="0">
                  <c:v>Pending</c:v>
                </c:pt>
              </c:strCache>
            </c:strRef>
          </c:tx>
          <c:spPr>
            <a:solidFill>
              <a:srgbClr val="FFC000"/>
            </a:solidFill>
            <a:ln>
              <a:noFill/>
            </a:ln>
            <a:effectLst/>
          </c:spPr>
          <c:invertIfNegative val="0"/>
          <c:cat>
            <c:strRef>
              <c:f>'Pivot tables'!$A$15:$A$25</c:f>
              <c:strCache>
                <c:ptCount val="10"/>
                <c:pt idx="0">
                  <c:v>Upper Respiratory Infection</c:v>
                </c:pt>
                <c:pt idx="1">
                  <c:v>Depression</c:v>
                </c:pt>
                <c:pt idx="2">
                  <c:v>UTI</c:v>
                </c:pt>
                <c:pt idx="3">
                  <c:v>Forearm Fracture</c:v>
                </c:pt>
                <c:pt idx="4">
                  <c:v>Vaccination</c:v>
                </c:pt>
                <c:pt idx="5">
                  <c:v>Low Back Pain</c:v>
                </c:pt>
                <c:pt idx="6">
                  <c:v>Asthma</c:v>
                </c:pt>
                <c:pt idx="7">
                  <c:v>Type 2 Diabetes</c:v>
                </c:pt>
                <c:pt idx="8">
                  <c:v>Hypertension</c:v>
                </c:pt>
                <c:pt idx="9">
                  <c:v>GERD</c:v>
                </c:pt>
              </c:strCache>
            </c:strRef>
          </c:cat>
          <c:val>
            <c:numRef>
              <c:f>'Pivot tables'!$D$15:$D$25</c:f>
              <c:numCache>
                <c:formatCode>General</c:formatCode>
                <c:ptCount val="10"/>
                <c:pt idx="0">
                  <c:v>1</c:v>
                </c:pt>
                <c:pt idx="2">
                  <c:v>4</c:v>
                </c:pt>
                <c:pt idx="3">
                  <c:v>2</c:v>
                </c:pt>
                <c:pt idx="4">
                  <c:v>7</c:v>
                </c:pt>
                <c:pt idx="5">
                  <c:v>7</c:v>
                </c:pt>
                <c:pt idx="6">
                  <c:v>3</c:v>
                </c:pt>
                <c:pt idx="7">
                  <c:v>4</c:v>
                </c:pt>
                <c:pt idx="8">
                  <c:v>8</c:v>
                </c:pt>
                <c:pt idx="9">
                  <c:v>6</c:v>
                </c:pt>
              </c:numCache>
            </c:numRef>
          </c:val>
          <c:extLst>
            <c:ext xmlns:c16="http://schemas.microsoft.com/office/drawing/2014/chart" uri="{C3380CC4-5D6E-409C-BE32-E72D297353CC}">
              <c16:uniqueId val="{00000002-2A11-8E4F-841B-ED4ECB93720A}"/>
            </c:ext>
          </c:extLst>
        </c:ser>
        <c:dLbls>
          <c:showLegendKey val="0"/>
          <c:showVal val="0"/>
          <c:showCatName val="0"/>
          <c:showSerName val="0"/>
          <c:showPercent val="0"/>
          <c:showBubbleSize val="0"/>
        </c:dLbls>
        <c:gapWidth val="219"/>
        <c:overlap val="100"/>
        <c:axId val="1364674304"/>
        <c:axId val="1364674752"/>
      </c:barChart>
      <c:catAx>
        <c:axId val="1364674304"/>
        <c:scaling>
          <c:orientation val="minMax"/>
        </c:scaling>
        <c:delete val="0"/>
        <c:axPos val="l"/>
        <c:numFmt formatCode="General" sourceLinked="1"/>
        <c:majorTickMark val="none"/>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364674752"/>
        <c:crosses val="autoZero"/>
        <c:auto val="1"/>
        <c:lblAlgn val="ctr"/>
        <c:lblOffset val="100"/>
        <c:noMultiLvlLbl val="0"/>
      </c:catAx>
      <c:valAx>
        <c:axId val="136467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36467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tables!Claim Count by Month</c:name>
    <c:fmtId val="4"/>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GB"/>
              <a:t>Total Billed Amount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tables'!$I$11</c:f>
              <c:strCache>
                <c:ptCount val="1"/>
                <c:pt idx="0">
                  <c:v>Count of Claim ID</c:v>
                </c:pt>
              </c:strCache>
            </c:strRef>
          </c:tx>
          <c:spPr>
            <a:solidFill>
              <a:schemeClr val="accent1"/>
            </a:solidFill>
            <a:ln>
              <a:noFill/>
            </a:ln>
            <a:effectLst/>
          </c:spPr>
          <c:cat>
            <c:strRef>
              <c:f>'Pivot tables'!$H$12:$H$24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tables'!$I$12:$I$24</c:f>
              <c:numCache>
                <c:formatCode>General</c:formatCode>
                <c:ptCount val="12"/>
                <c:pt idx="0">
                  <c:v>22</c:v>
                </c:pt>
                <c:pt idx="1">
                  <c:v>20</c:v>
                </c:pt>
                <c:pt idx="2">
                  <c:v>13</c:v>
                </c:pt>
                <c:pt idx="3">
                  <c:v>15</c:v>
                </c:pt>
                <c:pt idx="4">
                  <c:v>14</c:v>
                </c:pt>
                <c:pt idx="5">
                  <c:v>17</c:v>
                </c:pt>
                <c:pt idx="6">
                  <c:v>15</c:v>
                </c:pt>
                <c:pt idx="7">
                  <c:v>19</c:v>
                </c:pt>
                <c:pt idx="8">
                  <c:v>22</c:v>
                </c:pt>
                <c:pt idx="9">
                  <c:v>13</c:v>
                </c:pt>
                <c:pt idx="10">
                  <c:v>15</c:v>
                </c:pt>
                <c:pt idx="11">
                  <c:v>15</c:v>
                </c:pt>
              </c:numCache>
            </c:numRef>
          </c:val>
          <c:extLst>
            <c:ext xmlns:c16="http://schemas.microsoft.com/office/drawing/2014/chart" uri="{C3380CC4-5D6E-409C-BE32-E72D297353CC}">
              <c16:uniqueId val="{00000000-E83A-0C43-83D0-68B8305E121C}"/>
            </c:ext>
          </c:extLst>
        </c:ser>
        <c:ser>
          <c:idx val="1"/>
          <c:order val="1"/>
          <c:tx>
            <c:strRef>
              <c:f>'Pivot tables'!$J$11</c:f>
              <c:strCache>
                <c:ptCount val="1"/>
                <c:pt idx="0">
                  <c:v>Sum of Billed Amount ($)</c:v>
                </c:pt>
              </c:strCache>
            </c:strRef>
          </c:tx>
          <c:spPr>
            <a:solidFill>
              <a:schemeClr val="accent6">
                <a:lumMod val="75000"/>
              </a:schemeClr>
            </a:solidFill>
            <a:ln>
              <a:solidFill>
                <a:schemeClr val="accent3">
                  <a:lumMod val="50000"/>
                </a:schemeClr>
              </a:solidFill>
            </a:ln>
            <a:effectLst/>
          </c:spPr>
          <c:cat>
            <c:strRef>
              <c:f>'Pivot tables'!$H$12:$H$24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tables'!$J$12:$J$24</c:f>
              <c:numCache>
                <c:formatCode>#,##0.00</c:formatCode>
                <c:ptCount val="12"/>
                <c:pt idx="0">
                  <c:v>144278.63999999998</c:v>
                </c:pt>
                <c:pt idx="1">
                  <c:v>120921.90000000002</c:v>
                </c:pt>
                <c:pt idx="2">
                  <c:v>70655.73</c:v>
                </c:pt>
                <c:pt idx="3">
                  <c:v>87047.58</c:v>
                </c:pt>
                <c:pt idx="4">
                  <c:v>83778.399999999994</c:v>
                </c:pt>
                <c:pt idx="5">
                  <c:v>123967.90000000002</c:v>
                </c:pt>
                <c:pt idx="6">
                  <c:v>90219.880000000019</c:v>
                </c:pt>
                <c:pt idx="7">
                  <c:v>114898.15</c:v>
                </c:pt>
                <c:pt idx="8">
                  <c:v>152134.93</c:v>
                </c:pt>
                <c:pt idx="9">
                  <c:v>86127.800000000017</c:v>
                </c:pt>
                <c:pt idx="10">
                  <c:v>94519.159999999989</c:v>
                </c:pt>
                <c:pt idx="11">
                  <c:v>78481.299999999988</c:v>
                </c:pt>
              </c:numCache>
            </c:numRef>
          </c:val>
          <c:extLst>
            <c:ext xmlns:c16="http://schemas.microsoft.com/office/drawing/2014/chart" uri="{C3380CC4-5D6E-409C-BE32-E72D297353CC}">
              <c16:uniqueId val="{00000001-E83A-0C43-83D0-68B8305E121C}"/>
            </c:ext>
          </c:extLst>
        </c:ser>
        <c:dLbls>
          <c:showLegendKey val="0"/>
          <c:showVal val="0"/>
          <c:showCatName val="0"/>
          <c:showSerName val="0"/>
          <c:showPercent val="0"/>
          <c:showBubbleSize val="0"/>
        </c:dLbls>
        <c:axId val="1345474496"/>
        <c:axId val="1182022080"/>
      </c:areaChart>
      <c:catAx>
        <c:axId val="1345474496"/>
        <c:scaling>
          <c:orientation val="minMax"/>
        </c:scaling>
        <c:delete val="0"/>
        <c:axPos val="b"/>
        <c:numFmt formatCode="General" sourceLinked="1"/>
        <c:majorTickMark val="none"/>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182022080"/>
        <c:crosses val="autoZero"/>
        <c:auto val="1"/>
        <c:lblAlgn val="ctr"/>
        <c:lblOffset val="100"/>
        <c:noMultiLvlLbl val="0"/>
      </c:catAx>
      <c:valAx>
        <c:axId val="1182022080"/>
        <c:scaling>
          <c:orientation val="minMax"/>
        </c:scaling>
        <c:delete val="0"/>
        <c:axPos val="l"/>
        <c:numFmt formatCode="General" sourceLinked="1"/>
        <c:majorTickMark val="none"/>
        <c:minorTickMark val="none"/>
        <c:tickLblPos val="nextTo"/>
        <c:spPr>
          <a:noFill/>
          <a:ln>
            <a:solidFill>
              <a:schemeClr val="accent3">
                <a:lumMod val="50000"/>
              </a:schemeClr>
            </a:solid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345474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tables!Write-off rate</c:name>
    <c:fmtId val="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a:t>Write-off Rate by Provider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pattFill prst="pct90">
            <a:fgClr>
              <a:srgbClr val="4E8F00"/>
            </a:fgClr>
            <a:bgClr>
              <a:schemeClr val="bg1"/>
            </a:bgClr>
          </a:patt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pct90">
            <a:fgClr>
              <a:srgbClr val="4E8F00"/>
            </a:fgClr>
            <a:bgClr>
              <a:schemeClr val="bg1"/>
            </a:bgClr>
          </a:patt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pct90">
            <a:fgClr>
              <a:srgbClr val="4E8F00"/>
            </a:fgClr>
            <a:bgClr>
              <a:schemeClr val="bg1"/>
            </a:bgClr>
          </a:patt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pattFill prst="pct90">
              <a:fgClr>
                <a:srgbClr val="4E8F00"/>
              </a:fgClr>
              <a:bgClr>
                <a:schemeClr val="bg1"/>
              </a:bgClr>
            </a:patt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tables'!$H$4:$H$7</c:f>
              <c:strCache>
                <c:ptCount val="3"/>
                <c:pt idx="0">
                  <c:v>Emergency</c:v>
                </c:pt>
                <c:pt idx="1">
                  <c:v>Inpatient</c:v>
                </c:pt>
                <c:pt idx="2">
                  <c:v>Outpatient</c:v>
                </c:pt>
              </c:strCache>
            </c:strRef>
          </c:cat>
          <c:val>
            <c:numRef>
              <c:f>'Pivot tables'!$I$4:$I$7</c:f>
              <c:numCache>
                <c:formatCode>0%</c:formatCode>
                <c:ptCount val="3"/>
                <c:pt idx="0">
                  <c:v>0.51400705538826141</c:v>
                </c:pt>
                <c:pt idx="1">
                  <c:v>0.44632806145656617</c:v>
                </c:pt>
                <c:pt idx="2">
                  <c:v>0.44427094332007433</c:v>
                </c:pt>
              </c:numCache>
            </c:numRef>
          </c:val>
          <c:extLst>
            <c:ext xmlns:c16="http://schemas.microsoft.com/office/drawing/2014/chart" uri="{C3380CC4-5D6E-409C-BE32-E72D297353CC}">
              <c16:uniqueId val="{00000000-0DBB-464B-A9D1-ECBDB67C094D}"/>
            </c:ext>
          </c:extLst>
        </c:ser>
        <c:dLbls>
          <c:dLblPos val="outEnd"/>
          <c:showLegendKey val="0"/>
          <c:showVal val="1"/>
          <c:showCatName val="0"/>
          <c:showSerName val="0"/>
          <c:showPercent val="0"/>
          <c:showBubbleSize val="0"/>
        </c:dLbls>
        <c:gapWidth val="219"/>
        <c:overlap val="-27"/>
        <c:axId val="1442838528"/>
        <c:axId val="1444796096"/>
      </c:barChart>
      <c:catAx>
        <c:axId val="1442838528"/>
        <c:scaling>
          <c:orientation val="minMax"/>
        </c:scaling>
        <c:delete val="0"/>
        <c:axPos val="b"/>
        <c:numFmt formatCode="General" sourceLinked="1"/>
        <c:majorTickMark val="out"/>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444796096"/>
        <c:crosses val="autoZero"/>
        <c:auto val="1"/>
        <c:lblAlgn val="ctr"/>
        <c:lblOffset val="100"/>
        <c:noMultiLvlLbl val="0"/>
      </c:catAx>
      <c:valAx>
        <c:axId val="1444796096"/>
        <c:scaling>
          <c:orientation val="minMax"/>
        </c:scaling>
        <c:delete val="1"/>
        <c:axPos val="l"/>
        <c:numFmt formatCode="0%" sourceLinked="1"/>
        <c:majorTickMark val="none"/>
        <c:minorTickMark val="none"/>
        <c:tickLblPos val="nextTo"/>
        <c:crossAx val="14428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a:outerShdw blurRad="50800" dist="38100" dir="13500000" algn="br" rotWithShape="0">
        <a:prstClr val="black">
          <a:alpha val="40000"/>
        </a:prstClr>
      </a:outerShdw>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tables!Top Members by Total Billed</c:name>
    <c:fmtId val="4"/>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GB"/>
              <a:t>Top Members by Total Billed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pattFill prst="pct5">
            <a:fgClr>
              <a:schemeClr val="accent3">
                <a:lumMod val="20000"/>
                <a:lumOff val="80000"/>
              </a:schemeClr>
            </a:fgClr>
            <a:bgClr>
              <a:schemeClr val="accent6">
                <a:lumMod val="75000"/>
              </a:schemeClr>
            </a:bgClr>
          </a:patt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pct5">
            <a:fgClr>
              <a:schemeClr val="accent3">
                <a:lumMod val="20000"/>
                <a:lumOff val="80000"/>
              </a:schemeClr>
            </a:fgClr>
            <a:bgClr>
              <a:schemeClr val="accent6">
                <a:lumMod val="75000"/>
              </a:schemeClr>
            </a:bgClr>
          </a:patt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pct5">
            <a:fgClr>
              <a:schemeClr val="accent3">
                <a:lumMod val="20000"/>
                <a:lumOff val="80000"/>
              </a:schemeClr>
            </a:fgClr>
            <a:bgClr>
              <a:schemeClr val="accent6">
                <a:lumMod val="75000"/>
              </a:schemeClr>
            </a:bgClr>
          </a:pattFill>
          <a:ln>
            <a:solidFill>
              <a:schemeClr val="accent3">
                <a:lumMod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tables'!$I$28</c:f>
              <c:strCache>
                <c:ptCount val="1"/>
                <c:pt idx="0">
                  <c:v>Total</c:v>
                </c:pt>
              </c:strCache>
            </c:strRef>
          </c:tx>
          <c:spPr>
            <a:pattFill prst="pct5">
              <a:fgClr>
                <a:schemeClr val="accent3">
                  <a:lumMod val="20000"/>
                  <a:lumOff val="80000"/>
                </a:schemeClr>
              </a:fgClr>
              <a:bgClr>
                <a:schemeClr val="accent6">
                  <a:lumMod val="75000"/>
                </a:schemeClr>
              </a:bgClr>
            </a:pattFill>
            <a:ln>
              <a:solidFill>
                <a:schemeClr val="accent3">
                  <a:lumMod val="50000"/>
                </a:schemeClr>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tables'!$H$29:$H$39</c:f>
              <c:strCache>
                <c:ptCount val="10"/>
                <c:pt idx="0">
                  <c:v>M0049</c:v>
                </c:pt>
                <c:pt idx="1">
                  <c:v>M0020</c:v>
                </c:pt>
                <c:pt idx="2">
                  <c:v>M0027</c:v>
                </c:pt>
                <c:pt idx="3">
                  <c:v>M0019</c:v>
                </c:pt>
                <c:pt idx="4">
                  <c:v>M0006</c:v>
                </c:pt>
                <c:pt idx="5">
                  <c:v>M0044</c:v>
                </c:pt>
                <c:pt idx="6">
                  <c:v>M0017</c:v>
                </c:pt>
                <c:pt idx="7">
                  <c:v>M0030</c:v>
                </c:pt>
                <c:pt idx="8">
                  <c:v>M0010</c:v>
                </c:pt>
                <c:pt idx="9">
                  <c:v>M0004</c:v>
                </c:pt>
              </c:strCache>
            </c:strRef>
          </c:cat>
          <c:val>
            <c:numRef>
              <c:f>'Pivot tables'!$I$29:$I$39</c:f>
              <c:numCache>
                <c:formatCode>#,##0.00</c:formatCode>
                <c:ptCount val="10"/>
                <c:pt idx="0">
                  <c:v>74094.560000000012</c:v>
                </c:pt>
                <c:pt idx="1">
                  <c:v>48029.83</c:v>
                </c:pt>
                <c:pt idx="2">
                  <c:v>46841.200000000004</c:v>
                </c:pt>
                <c:pt idx="3">
                  <c:v>46479.320000000007</c:v>
                </c:pt>
                <c:pt idx="4">
                  <c:v>45831.11</c:v>
                </c:pt>
                <c:pt idx="5">
                  <c:v>45043.74</c:v>
                </c:pt>
                <c:pt idx="6">
                  <c:v>39246.32</c:v>
                </c:pt>
                <c:pt idx="7">
                  <c:v>38580.589999999997</c:v>
                </c:pt>
                <c:pt idx="8">
                  <c:v>37621.229999999996</c:v>
                </c:pt>
                <c:pt idx="9">
                  <c:v>34204.22</c:v>
                </c:pt>
              </c:numCache>
            </c:numRef>
          </c:val>
          <c:extLst>
            <c:ext xmlns:c16="http://schemas.microsoft.com/office/drawing/2014/chart" uri="{C3380CC4-5D6E-409C-BE32-E72D297353CC}">
              <c16:uniqueId val="{00000000-94A7-6945-A4A4-255B8B3EB611}"/>
            </c:ext>
          </c:extLst>
        </c:ser>
        <c:dLbls>
          <c:dLblPos val="outEnd"/>
          <c:showLegendKey val="0"/>
          <c:showVal val="1"/>
          <c:showCatName val="0"/>
          <c:showSerName val="0"/>
          <c:showPercent val="0"/>
          <c:showBubbleSize val="0"/>
        </c:dLbls>
        <c:gapWidth val="219"/>
        <c:axId val="1366418176"/>
        <c:axId val="1182570176"/>
      </c:barChart>
      <c:catAx>
        <c:axId val="1366418176"/>
        <c:scaling>
          <c:orientation val="minMax"/>
        </c:scaling>
        <c:delete val="0"/>
        <c:axPos val="l"/>
        <c:numFmt formatCode="General" sourceLinked="1"/>
        <c:majorTickMark val="none"/>
        <c:minorTickMark val="none"/>
        <c:tickLblPos val="nextTo"/>
        <c:spPr>
          <a:noFill/>
          <a:ln w="9525" cap="flat" cmpd="sng" algn="ctr">
            <a:solidFill>
              <a:schemeClr val="bg1">
                <a:lumMod val="9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182570176"/>
        <c:crosses val="autoZero"/>
        <c:auto val="1"/>
        <c:lblAlgn val="ctr"/>
        <c:lblOffset val="100"/>
        <c:noMultiLvlLbl val="0"/>
      </c:catAx>
      <c:valAx>
        <c:axId val="1182570176"/>
        <c:scaling>
          <c:orientation val="minMax"/>
        </c:scaling>
        <c:delete val="1"/>
        <c:axPos val="b"/>
        <c:numFmt formatCode="#,##0.00" sourceLinked="1"/>
        <c:majorTickMark val="none"/>
        <c:minorTickMark val="none"/>
        <c:tickLblPos val="nextTo"/>
        <c:crossAx val="136641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tables!Billed vs Paid by Provider Type</c:name>
    <c:fmtId val="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GB"/>
              <a:t>Billed vs Paid by Provider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lumMod val="50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tables'!$M$3</c:f>
              <c:strCache>
                <c:ptCount val="1"/>
                <c:pt idx="0">
                  <c:v>Sum of Billed Amount ($)</c:v>
                </c:pt>
              </c:strCache>
            </c:strRef>
          </c:tx>
          <c:spPr>
            <a:solidFill>
              <a:srgbClr val="00B050"/>
            </a:solidFill>
            <a:ln>
              <a:noFill/>
            </a:ln>
            <a:effectLst/>
          </c:spPr>
          <c:invertIfNegative val="0"/>
          <c:cat>
            <c:strRef>
              <c:f>'Pivot tables'!$L$4:$L$7</c:f>
              <c:strCache>
                <c:ptCount val="3"/>
                <c:pt idx="0">
                  <c:v>Emergency</c:v>
                </c:pt>
                <c:pt idx="1">
                  <c:v>Inpatient</c:v>
                </c:pt>
                <c:pt idx="2">
                  <c:v>Outpatient</c:v>
                </c:pt>
              </c:strCache>
            </c:strRef>
          </c:cat>
          <c:val>
            <c:numRef>
              <c:f>'Pivot tables'!$M$4:$M$7</c:f>
              <c:numCache>
                <c:formatCode>#,##0.00</c:formatCode>
                <c:ptCount val="3"/>
                <c:pt idx="0">
                  <c:v>268798.86</c:v>
                </c:pt>
                <c:pt idx="1">
                  <c:v>183375.20000000004</c:v>
                </c:pt>
                <c:pt idx="2">
                  <c:v>794857.31</c:v>
                </c:pt>
              </c:numCache>
            </c:numRef>
          </c:val>
          <c:extLst>
            <c:ext xmlns:c16="http://schemas.microsoft.com/office/drawing/2014/chart" uri="{C3380CC4-5D6E-409C-BE32-E72D297353CC}">
              <c16:uniqueId val="{00000000-B32C-C744-9E75-470EADF0C455}"/>
            </c:ext>
          </c:extLst>
        </c:ser>
        <c:ser>
          <c:idx val="1"/>
          <c:order val="1"/>
          <c:tx>
            <c:strRef>
              <c:f>'Pivot tables'!$N$3</c:f>
              <c:strCache>
                <c:ptCount val="1"/>
                <c:pt idx="0">
                  <c:v>Sum of Paid Amount ($)</c:v>
                </c:pt>
              </c:strCache>
            </c:strRef>
          </c:tx>
          <c:spPr>
            <a:solidFill>
              <a:srgbClr val="FF0000"/>
            </a:solidFill>
            <a:ln>
              <a:noFill/>
            </a:ln>
            <a:effectLst/>
          </c:spPr>
          <c:invertIfNegative val="0"/>
          <c:cat>
            <c:strRef>
              <c:f>'Pivot tables'!$L$4:$L$7</c:f>
              <c:strCache>
                <c:ptCount val="3"/>
                <c:pt idx="0">
                  <c:v>Emergency</c:v>
                </c:pt>
                <c:pt idx="1">
                  <c:v>Inpatient</c:v>
                </c:pt>
                <c:pt idx="2">
                  <c:v>Outpatient</c:v>
                </c:pt>
              </c:strCache>
            </c:strRef>
          </c:cat>
          <c:val>
            <c:numRef>
              <c:f>'Pivot tables'!$N$4:$N$7</c:f>
              <c:numCache>
                <c:formatCode>#,##0.00</c:formatCode>
                <c:ptCount val="3"/>
                <c:pt idx="0">
                  <c:v>140389.53000000003</c:v>
                </c:pt>
                <c:pt idx="1">
                  <c:v>102409.03</c:v>
                </c:pt>
                <c:pt idx="2">
                  <c:v>457968.68</c:v>
                </c:pt>
              </c:numCache>
            </c:numRef>
          </c:val>
          <c:extLst>
            <c:ext xmlns:c16="http://schemas.microsoft.com/office/drawing/2014/chart" uri="{C3380CC4-5D6E-409C-BE32-E72D297353CC}">
              <c16:uniqueId val="{00000001-B32C-C744-9E75-470EADF0C455}"/>
            </c:ext>
          </c:extLst>
        </c:ser>
        <c:dLbls>
          <c:showLegendKey val="0"/>
          <c:showVal val="0"/>
          <c:showCatName val="0"/>
          <c:showSerName val="0"/>
          <c:showPercent val="0"/>
          <c:showBubbleSize val="0"/>
        </c:dLbls>
        <c:gapWidth val="219"/>
        <c:overlap val="-27"/>
        <c:axId val="1365306752"/>
        <c:axId val="1365304512"/>
      </c:barChart>
      <c:catAx>
        <c:axId val="1365306752"/>
        <c:scaling>
          <c:orientation val="minMax"/>
        </c:scaling>
        <c:delete val="0"/>
        <c:axPos val="b"/>
        <c:numFmt formatCode="General" sourceLinked="1"/>
        <c:majorTickMark val="none"/>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365304512"/>
        <c:crosses val="autoZero"/>
        <c:auto val="1"/>
        <c:lblAlgn val="ctr"/>
        <c:lblOffset val="100"/>
        <c:noMultiLvlLbl val="0"/>
      </c:catAx>
      <c:valAx>
        <c:axId val="13653045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36530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Claims Analysis Project.xlsx]Pivot tables!Prior Auth vs Claim Status</c:name>
    <c:fmtId val="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GB"/>
              <a:t>Prior Auth vs Claim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G"/>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tables'!$B$29:$B$30</c:f>
              <c:strCache>
                <c:ptCount val="1"/>
                <c:pt idx="0">
                  <c:v>Approved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tables'!$A$31:$A$33</c:f>
              <c:strCache>
                <c:ptCount val="2"/>
                <c:pt idx="0">
                  <c:v>No</c:v>
                </c:pt>
                <c:pt idx="1">
                  <c:v>Yes</c:v>
                </c:pt>
              </c:strCache>
            </c:strRef>
          </c:cat>
          <c:val>
            <c:numRef>
              <c:f>'Pivot tables'!$B$31:$B$33</c:f>
              <c:numCache>
                <c:formatCode>General</c:formatCode>
                <c:ptCount val="2"/>
                <c:pt idx="0">
                  <c:v>62</c:v>
                </c:pt>
                <c:pt idx="1">
                  <c:v>56</c:v>
                </c:pt>
              </c:numCache>
            </c:numRef>
          </c:val>
          <c:extLst>
            <c:ext xmlns:c16="http://schemas.microsoft.com/office/drawing/2014/chart" uri="{C3380CC4-5D6E-409C-BE32-E72D297353CC}">
              <c16:uniqueId val="{00000000-565A-7C48-8C61-2857F009193C}"/>
            </c:ext>
          </c:extLst>
        </c:ser>
        <c:ser>
          <c:idx val="1"/>
          <c:order val="1"/>
          <c:tx>
            <c:strRef>
              <c:f>'Pivot tables'!$C$29:$C$30</c:f>
              <c:strCache>
                <c:ptCount val="1"/>
                <c:pt idx="0">
                  <c:v>Denied</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tables'!$A$31:$A$33</c:f>
              <c:strCache>
                <c:ptCount val="2"/>
                <c:pt idx="0">
                  <c:v>No</c:v>
                </c:pt>
                <c:pt idx="1">
                  <c:v>Yes</c:v>
                </c:pt>
              </c:strCache>
            </c:strRef>
          </c:cat>
          <c:val>
            <c:numRef>
              <c:f>'Pivot tables'!$C$31:$C$33</c:f>
              <c:numCache>
                <c:formatCode>General</c:formatCode>
                <c:ptCount val="2"/>
                <c:pt idx="0">
                  <c:v>17</c:v>
                </c:pt>
                <c:pt idx="1">
                  <c:v>23</c:v>
                </c:pt>
              </c:numCache>
            </c:numRef>
          </c:val>
          <c:extLst>
            <c:ext xmlns:c16="http://schemas.microsoft.com/office/drawing/2014/chart" uri="{C3380CC4-5D6E-409C-BE32-E72D297353CC}">
              <c16:uniqueId val="{00000001-565A-7C48-8C61-2857F009193C}"/>
            </c:ext>
          </c:extLst>
        </c:ser>
        <c:ser>
          <c:idx val="2"/>
          <c:order val="2"/>
          <c:tx>
            <c:strRef>
              <c:f>'Pivot tables'!$D$29:$D$30</c:f>
              <c:strCache>
                <c:ptCount val="1"/>
                <c:pt idx="0">
                  <c:v>Pending</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tables'!$A$31:$A$33</c:f>
              <c:strCache>
                <c:ptCount val="2"/>
                <c:pt idx="0">
                  <c:v>No</c:v>
                </c:pt>
                <c:pt idx="1">
                  <c:v>Yes</c:v>
                </c:pt>
              </c:strCache>
            </c:strRef>
          </c:cat>
          <c:val>
            <c:numRef>
              <c:f>'Pivot tables'!$D$31:$D$33</c:f>
              <c:numCache>
                <c:formatCode>General</c:formatCode>
                <c:ptCount val="2"/>
                <c:pt idx="0">
                  <c:v>15</c:v>
                </c:pt>
                <c:pt idx="1">
                  <c:v>27</c:v>
                </c:pt>
              </c:numCache>
            </c:numRef>
          </c:val>
          <c:extLst>
            <c:ext xmlns:c16="http://schemas.microsoft.com/office/drawing/2014/chart" uri="{C3380CC4-5D6E-409C-BE32-E72D297353CC}">
              <c16:uniqueId val="{00000002-565A-7C48-8C61-2857F009193C}"/>
            </c:ext>
          </c:extLst>
        </c:ser>
        <c:dLbls>
          <c:dLblPos val="outEnd"/>
          <c:showLegendKey val="0"/>
          <c:showVal val="1"/>
          <c:showCatName val="0"/>
          <c:showSerName val="0"/>
          <c:showPercent val="0"/>
          <c:showBubbleSize val="0"/>
        </c:dLbls>
        <c:gapWidth val="219"/>
        <c:overlap val="-27"/>
        <c:axId val="1454808064"/>
        <c:axId val="1451642368"/>
      </c:barChart>
      <c:catAx>
        <c:axId val="1454808064"/>
        <c:scaling>
          <c:orientation val="minMax"/>
        </c:scaling>
        <c:delete val="0"/>
        <c:axPos val="b"/>
        <c:numFmt formatCode="General" sourceLinked="1"/>
        <c:majorTickMark val="none"/>
        <c:minorTickMark val="none"/>
        <c:tickLblPos val="nextTo"/>
        <c:spPr>
          <a:noFill/>
          <a:ln w="9525" cap="flat" cmpd="sng" algn="ctr">
            <a:solidFill>
              <a:schemeClr val="accent3">
                <a:lumMod val="50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crossAx val="1451642368"/>
        <c:crosses val="autoZero"/>
        <c:auto val="1"/>
        <c:lblAlgn val="ctr"/>
        <c:lblOffset val="100"/>
        <c:noMultiLvlLbl val="0"/>
      </c:catAx>
      <c:valAx>
        <c:axId val="1451642368"/>
        <c:scaling>
          <c:orientation val="minMax"/>
        </c:scaling>
        <c:delete val="1"/>
        <c:axPos val="l"/>
        <c:numFmt formatCode="General" sourceLinked="1"/>
        <c:majorTickMark val="none"/>
        <c:minorTickMark val="none"/>
        <c:tickLblPos val="nextTo"/>
        <c:crossAx val="145480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50000"/>
                </a:schemeClr>
              </a:solidFill>
              <a:latin typeface="+mn-lt"/>
              <a:ea typeface="+mn-ea"/>
              <a:cs typeface="+mn-cs"/>
            </a:defRPr>
          </a:pPr>
          <a:endParaRPr lang="en-U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accent3">
          <a:lumMod val="50000"/>
        </a:schemeClr>
      </a:solidFill>
      <a:round/>
    </a:ln>
    <a:effectLst/>
  </c:spPr>
  <c:txPr>
    <a:bodyPr/>
    <a:lstStyle/>
    <a:p>
      <a:pPr>
        <a:defRPr b="1">
          <a:solidFill>
            <a:schemeClr val="accent3">
              <a:lumMod val="50000"/>
            </a:schemeClr>
          </a:solidFill>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25400</xdr:rowOff>
    </xdr:from>
    <xdr:to>
      <xdr:col>22</xdr:col>
      <xdr:colOff>482600</xdr:colOff>
      <xdr:row>39</xdr:row>
      <xdr:rowOff>165100</xdr:rowOff>
    </xdr:to>
    <xdr:sp macro="" textlink="">
      <xdr:nvSpPr>
        <xdr:cNvPr id="18" name="Rectangle 17">
          <a:extLst>
            <a:ext uri="{FF2B5EF4-FFF2-40B4-BE49-F238E27FC236}">
              <a16:creationId xmlns:a16="http://schemas.microsoft.com/office/drawing/2014/main" id="{BC8DAE00-AF68-6D50-11CA-1AFC9A41C7E7}"/>
            </a:ext>
          </a:extLst>
        </xdr:cNvPr>
        <xdr:cNvSpPr/>
      </xdr:nvSpPr>
      <xdr:spPr>
        <a:xfrm>
          <a:off x="25400" y="25400"/>
          <a:ext cx="17945100" cy="792480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25400</xdr:colOff>
      <xdr:row>11</xdr:row>
      <xdr:rowOff>177800</xdr:rowOff>
    </xdr:from>
    <xdr:to>
      <xdr:col>6</xdr:col>
      <xdr:colOff>469900</xdr:colOff>
      <xdr:row>25</xdr:row>
      <xdr:rowOff>76200</xdr:rowOff>
    </xdr:to>
    <xdr:graphicFrame macro="">
      <xdr:nvGraphicFramePr>
        <xdr:cNvPr id="2" name="Number of Members per Insurance Company">
          <a:extLst>
            <a:ext uri="{FF2B5EF4-FFF2-40B4-BE49-F238E27FC236}">
              <a16:creationId xmlns:a16="http://schemas.microsoft.com/office/drawing/2014/main" id="{2D46411B-14F0-5D47-BDA8-FC0FEA2AB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495300</xdr:colOff>
      <xdr:row>25</xdr:row>
      <xdr:rowOff>127000</xdr:rowOff>
    </xdr:from>
    <xdr:to>
      <xdr:col>14</xdr:col>
      <xdr:colOff>749300</xdr:colOff>
      <xdr:row>39</xdr:row>
      <xdr:rowOff>25400</xdr:rowOff>
    </xdr:to>
    <xdr:graphicFrame macro="">
      <xdr:nvGraphicFramePr>
        <xdr:cNvPr id="3" name="Claim Status by Diagnosis">
          <a:extLst>
            <a:ext uri="{FF2B5EF4-FFF2-40B4-BE49-F238E27FC236}">
              <a16:creationId xmlns:a16="http://schemas.microsoft.com/office/drawing/2014/main" id="{12B9036D-A28F-2247-BC43-1CE46A00E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482600</xdr:colOff>
      <xdr:row>5</xdr:row>
      <xdr:rowOff>63500</xdr:rowOff>
    </xdr:from>
    <xdr:to>
      <xdr:col>19</xdr:col>
      <xdr:colOff>330200</xdr:colOff>
      <xdr:row>11</xdr:row>
      <xdr:rowOff>88900</xdr:rowOff>
    </xdr:to>
    <mc:AlternateContent xmlns:mc="http://schemas.openxmlformats.org/markup-compatibility/2006" xmlns:a14="http://schemas.microsoft.com/office/drawing/2010/main">
      <mc:Choice Requires="a14">
        <xdr:graphicFrame macro="">
          <xdr:nvGraphicFramePr>
            <xdr:cNvPr id="4" name="Plan">
              <a:extLst>
                <a:ext uri="{FF2B5EF4-FFF2-40B4-BE49-F238E27FC236}">
                  <a16:creationId xmlns:a16="http://schemas.microsoft.com/office/drawing/2014/main" id="{B00BC97E-F887-794A-ACE3-26FE66CAC875}"/>
                </a:ext>
              </a:extLst>
            </xdr:cNvPr>
            <xdr:cNvGraphicFramePr/>
          </xdr:nvGraphicFramePr>
          <xdr:xfrm>
            <a:off x="0" y="0"/>
            <a:ext cx="0" cy="0"/>
          </xdr:xfrm>
          <a:graphic>
            <a:graphicData uri="http://schemas.microsoft.com/office/drawing/2010/slicer">
              <sle:slicer xmlns:sle="http://schemas.microsoft.com/office/drawing/2010/slicer" name="Plan"/>
            </a:graphicData>
          </a:graphic>
        </xdr:graphicFrame>
      </mc:Choice>
      <mc:Fallback xmlns="">
        <xdr:sp macro="" textlink="">
          <xdr:nvSpPr>
            <xdr:cNvPr id="0" name=""/>
            <xdr:cNvSpPr>
              <a:spLocks noTextEdit="1"/>
            </xdr:cNvSpPr>
          </xdr:nvSpPr>
          <xdr:spPr>
            <a:xfrm>
              <a:off x="13843000" y="939800"/>
              <a:ext cx="1498600" cy="1244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533400</xdr:colOff>
      <xdr:row>11</xdr:row>
      <xdr:rowOff>177800</xdr:rowOff>
    </xdr:from>
    <xdr:to>
      <xdr:col>12</xdr:col>
      <xdr:colOff>660400</xdr:colOff>
      <xdr:row>25</xdr:row>
      <xdr:rowOff>76200</xdr:rowOff>
    </xdr:to>
    <xdr:graphicFrame macro="">
      <xdr:nvGraphicFramePr>
        <xdr:cNvPr id="5" name="Total Billed Amount by Month&#13;&#10;">
          <a:extLst>
            <a:ext uri="{FF2B5EF4-FFF2-40B4-BE49-F238E27FC236}">
              <a16:creationId xmlns:a16="http://schemas.microsoft.com/office/drawing/2014/main" id="{0B90F4AB-61C3-B14F-AFC7-47339F589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762000</xdr:colOff>
      <xdr:row>11</xdr:row>
      <xdr:rowOff>177800</xdr:rowOff>
    </xdr:from>
    <xdr:to>
      <xdr:col>18</xdr:col>
      <xdr:colOff>38100</xdr:colOff>
      <xdr:row>25</xdr:row>
      <xdr:rowOff>12700</xdr:rowOff>
    </xdr:to>
    <xdr:graphicFrame macro="">
      <xdr:nvGraphicFramePr>
        <xdr:cNvPr id="6" name="Write-off Rate by Provider Type">
          <a:extLst>
            <a:ext uri="{FF2B5EF4-FFF2-40B4-BE49-F238E27FC236}">
              <a16:creationId xmlns:a16="http://schemas.microsoft.com/office/drawing/2014/main" id="{1F8BF819-91E6-8A49-BCB2-7140967EB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25400</xdr:colOff>
      <xdr:row>25</xdr:row>
      <xdr:rowOff>76200</xdr:rowOff>
    </xdr:from>
    <xdr:to>
      <xdr:col>22</xdr:col>
      <xdr:colOff>298450</xdr:colOff>
      <xdr:row>39</xdr:row>
      <xdr:rowOff>6350</xdr:rowOff>
    </xdr:to>
    <xdr:graphicFrame macro="">
      <xdr:nvGraphicFramePr>
        <xdr:cNvPr id="7" name="Top Members by Total Billed">
          <a:extLst>
            <a:ext uri="{FF2B5EF4-FFF2-40B4-BE49-F238E27FC236}">
              <a16:creationId xmlns:a16="http://schemas.microsoft.com/office/drawing/2014/main" id="{14EA84D8-363D-E047-B637-01595796C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xdr:colOff>
      <xdr:row>25</xdr:row>
      <xdr:rowOff>139700</xdr:rowOff>
    </xdr:from>
    <xdr:to>
      <xdr:col>7</xdr:col>
      <xdr:colOff>368300</xdr:colOff>
      <xdr:row>39</xdr:row>
      <xdr:rowOff>38100</xdr:rowOff>
    </xdr:to>
    <xdr:graphicFrame macro="">
      <xdr:nvGraphicFramePr>
        <xdr:cNvPr id="8" name="Billed vs Paid by Provider Type">
          <a:extLst>
            <a:ext uri="{FF2B5EF4-FFF2-40B4-BE49-F238E27FC236}">
              <a16:creationId xmlns:a16="http://schemas.microsoft.com/office/drawing/2014/main" id="{BAF1BF35-6582-944D-9DC9-83F35B9A5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139700</xdr:colOff>
      <xdr:row>11</xdr:row>
      <xdr:rowOff>127000</xdr:rowOff>
    </xdr:from>
    <xdr:to>
      <xdr:col>22</xdr:col>
      <xdr:colOff>292100</xdr:colOff>
      <xdr:row>25</xdr:row>
      <xdr:rowOff>25400</xdr:rowOff>
    </xdr:to>
    <xdr:graphicFrame macro="">
      <xdr:nvGraphicFramePr>
        <xdr:cNvPr id="9" name="Prior Auth vs Claim Status">
          <a:extLst>
            <a:ext uri="{FF2B5EF4-FFF2-40B4-BE49-F238E27FC236}">
              <a16:creationId xmlns:a16="http://schemas.microsoft.com/office/drawing/2014/main" id="{0D9F2A93-1471-1147-86A6-5697AC146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584200</xdr:colOff>
      <xdr:row>5</xdr:row>
      <xdr:rowOff>63500</xdr:rowOff>
    </xdr:from>
    <xdr:to>
      <xdr:col>17</xdr:col>
      <xdr:colOff>431800</xdr:colOff>
      <xdr:row>11</xdr:row>
      <xdr:rowOff>76200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DDA9BA31-49B7-FD68-909E-28008EF644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93600" y="939800"/>
              <a:ext cx="14986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355600</xdr:colOff>
      <xdr:row>5</xdr:row>
      <xdr:rowOff>63500</xdr:rowOff>
    </xdr:from>
    <xdr:to>
      <xdr:col>22</xdr:col>
      <xdr:colOff>317500</xdr:colOff>
      <xdr:row>11</xdr:row>
      <xdr:rowOff>38100</xdr:rowOff>
    </xdr:to>
    <mc:AlternateContent xmlns:mc="http://schemas.openxmlformats.org/markup-compatibility/2006" xmlns:a14="http://schemas.microsoft.com/office/drawing/2010/main">
      <mc:Choice Requires="a14">
        <xdr:graphicFrame macro="">
          <xdr:nvGraphicFramePr>
            <xdr:cNvPr id="11" name="Diagnosis">
              <a:extLst>
                <a:ext uri="{FF2B5EF4-FFF2-40B4-BE49-F238E27FC236}">
                  <a16:creationId xmlns:a16="http://schemas.microsoft.com/office/drawing/2014/main" id="{87159DEA-2B5F-FC7F-5946-F95F77F4BF3F}"/>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5367000" y="939800"/>
              <a:ext cx="24384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5</xdr:row>
      <xdr:rowOff>25400</xdr:rowOff>
    </xdr:from>
    <xdr:to>
      <xdr:col>7</xdr:col>
      <xdr:colOff>368300</xdr:colOff>
      <xdr:row>11</xdr:row>
      <xdr:rowOff>127000</xdr:rowOff>
    </xdr:to>
    <mc:AlternateContent xmlns:mc="http://schemas.openxmlformats.org/markup-compatibility/2006" xmlns:tsle="http://schemas.microsoft.com/office/drawing/2012/timeslicer">
      <mc:Choice Requires="tsle">
        <xdr:graphicFrame macro="">
          <xdr:nvGraphicFramePr>
            <xdr:cNvPr id="12" name="Service Date">
              <a:extLst>
                <a:ext uri="{FF2B5EF4-FFF2-40B4-BE49-F238E27FC236}">
                  <a16:creationId xmlns:a16="http://schemas.microsoft.com/office/drawing/2014/main" id="{B05A1AF7-DB5F-F394-5EB1-084FC6809ECA}"/>
                </a:ext>
              </a:extLst>
            </xdr:cNvPr>
            <xdr:cNvGraphicFramePr/>
          </xdr:nvGraphicFramePr>
          <xdr:xfrm>
            <a:off x="0" y="0"/>
            <a:ext cx="0" cy="0"/>
          </xdr:xfrm>
          <a:graphic>
            <a:graphicData uri="http://schemas.microsoft.com/office/drawing/2012/timeslicer">
              <tsle:timeslicer name="Service Date"/>
            </a:graphicData>
          </a:graphic>
        </xdr:graphicFrame>
      </mc:Choice>
      <mc:Fallback xmlns="">
        <xdr:sp macro="" textlink="">
          <xdr:nvSpPr>
            <xdr:cNvPr id="0" name=""/>
            <xdr:cNvSpPr>
              <a:spLocks noTextEdit="1"/>
            </xdr:cNvSpPr>
          </xdr:nvSpPr>
          <xdr:spPr>
            <a:xfrm>
              <a:off x="152400" y="901700"/>
              <a:ext cx="53213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0</xdr:col>
      <xdr:colOff>0</xdr:colOff>
      <xdr:row>1</xdr:row>
      <xdr:rowOff>12700</xdr:rowOff>
    </xdr:from>
    <xdr:to>
      <xdr:col>22</xdr:col>
      <xdr:colOff>292100</xdr:colOff>
      <xdr:row>5</xdr:row>
      <xdr:rowOff>0</xdr:rowOff>
    </xdr:to>
    <xdr:sp macro="" textlink="">
      <xdr:nvSpPr>
        <xdr:cNvPr id="13" name="Rectangle 12">
          <a:extLst>
            <a:ext uri="{FF2B5EF4-FFF2-40B4-BE49-F238E27FC236}">
              <a16:creationId xmlns:a16="http://schemas.microsoft.com/office/drawing/2014/main" id="{6B56B3AF-1B78-93D5-87DF-BF86A0B0E83B}"/>
            </a:ext>
          </a:extLst>
        </xdr:cNvPr>
        <xdr:cNvSpPr/>
      </xdr:nvSpPr>
      <xdr:spPr>
        <a:xfrm>
          <a:off x="0" y="76200"/>
          <a:ext cx="17780000" cy="8001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b="1" i="0">
              <a:solidFill>
                <a:schemeClr val="accent3">
                  <a:lumMod val="50000"/>
                </a:schemeClr>
              </a:solidFill>
              <a:latin typeface="Times New Roman" panose="02020603050405020304" pitchFamily="18" charset="0"/>
              <a:cs typeface="Times New Roman" panose="02020603050405020304" pitchFamily="18" charset="0"/>
            </a:rPr>
            <a:t>INSURANCE CLAIMS ANALYSIS FY 2024</a:t>
          </a:r>
        </a:p>
      </xdr:txBody>
    </xdr:sp>
    <xdr:clientData/>
  </xdr:twoCellAnchor>
  <xdr:twoCellAnchor>
    <xdr:from>
      <xdr:col>7</xdr:col>
      <xdr:colOff>457200</xdr:colOff>
      <xdr:row>5</xdr:row>
      <xdr:rowOff>50800</xdr:rowOff>
    </xdr:from>
    <xdr:to>
      <xdr:col>10</xdr:col>
      <xdr:colOff>88900</xdr:colOff>
      <xdr:row>11</xdr:row>
      <xdr:rowOff>101600</xdr:rowOff>
    </xdr:to>
    <xdr:sp macro="" textlink="">
      <xdr:nvSpPr>
        <xdr:cNvPr id="14" name="Snip Diagonal Corner of Rectangle 13">
          <a:extLst>
            <a:ext uri="{FF2B5EF4-FFF2-40B4-BE49-F238E27FC236}">
              <a16:creationId xmlns:a16="http://schemas.microsoft.com/office/drawing/2014/main" id="{82D71A85-5B5F-54A5-3989-55BFD7D61617}"/>
            </a:ext>
          </a:extLst>
        </xdr:cNvPr>
        <xdr:cNvSpPr/>
      </xdr:nvSpPr>
      <xdr:spPr>
        <a:xfrm>
          <a:off x="5562600" y="927100"/>
          <a:ext cx="2108200" cy="1270000"/>
        </a:xfrm>
        <a:prstGeom prst="snip2Diag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400" b="1">
              <a:solidFill>
                <a:schemeClr val="accent3">
                  <a:lumMod val="50000"/>
                </a:schemeClr>
              </a:solidFill>
            </a:rPr>
            <a:t>1,247,031.37</a:t>
          </a:r>
        </a:p>
        <a:p>
          <a:pPr algn="ctr"/>
          <a:r>
            <a:rPr lang="en-GB" sz="1400" b="1">
              <a:solidFill>
                <a:schemeClr val="accent3">
                  <a:lumMod val="50000"/>
                </a:schemeClr>
              </a:solidFill>
            </a:rPr>
            <a:t>TOTAL BILLED AMOUNT ($)</a:t>
          </a:r>
        </a:p>
      </xdr:txBody>
    </xdr:sp>
    <xdr:clientData/>
  </xdr:twoCellAnchor>
  <xdr:twoCellAnchor>
    <xdr:from>
      <xdr:col>10</xdr:col>
      <xdr:colOff>215900</xdr:colOff>
      <xdr:row>5</xdr:row>
      <xdr:rowOff>50800</xdr:rowOff>
    </xdr:from>
    <xdr:to>
      <xdr:col>12</xdr:col>
      <xdr:colOff>673100</xdr:colOff>
      <xdr:row>11</xdr:row>
      <xdr:rowOff>101600</xdr:rowOff>
    </xdr:to>
    <xdr:sp macro="" textlink="">
      <xdr:nvSpPr>
        <xdr:cNvPr id="15" name="Snip Diagonal Corner of Rectangle 14">
          <a:extLst>
            <a:ext uri="{FF2B5EF4-FFF2-40B4-BE49-F238E27FC236}">
              <a16:creationId xmlns:a16="http://schemas.microsoft.com/office/drawing/2014/main" id="{BD06428B-68F4-C243-B0D0-38F8F3870C67}"/>
            </a:ext>
          </a:extLst>
        </xdr:cNvPr>
        <xdr:cNvSpPr/>
      </xdr:nvSpPr>
      <xdr:spPr>
        <a:xfrm>
          <a:off x="7797800" y="927100"/>
          <a:ext cx="2108200" cy="1270000"/>
        </a:xfrm>
        <a:prstGeom prst="snip2Diag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800" b="1">
              <a:solidFill>
                <a:schemeClr val="accent3">
                  <a:lumMod val="50000"/>
                </a:schemeClr>
              </a:solidFill>
            </a:rPr>
            <a:t>874,099.05</a:t>
          </a:r>
        </a:p>
        <a:p>
          <a:pPr algn="ctr"/>
          <a:r>
            <a:rPr lang="en-GB" sz="1400" b="1">
              <a:solidFill>
                <a:schemeClr val="accent3">
                  <a:lumMod val="50000"/>
                </a:schemeClr>
              </a:solidFill>
            </a:rPr>
            <a:t>TOTAL ALLOWED AMOUNT ($)</a:t>
          </a:r>
        </a:p>
      </xdr:txBody>
    </xdr:sp>
    <xdr:clientData/>
  </xdr:twoCellAnchor>
  <xdr:twoCellAnchor>
    <xdr:from>
      <xdr:col>12</xdr:col>
      <xdr:colOff>787400</xdr:colOff>
      <xdr:row>5</xdr:row>
      <xdr:rowOff>50800</xdr:rowOff>
    </xdr:from>
    <xdr:to>
      <xdr:col>15</xdr:col>
      <xdr:colOff>495300</xdr:colOff>
      <xdr:row>11</xdr:row>
      <xdr:rowOff>101600</xdr:rowOff>
    </xdr:to>
    <xdr:sp macro="" textlink="">
      <xdr:nvSpPr>
        <xdr:cNvPr id="16" name="Snip Diagonal Corner of Rectangle 15">
          <a:extLst>
            <a:ext uri="{FF2B5EF4-FFF2-40B4-BE49-F238E27FC236}">
              <a16:creationId xmlns:a16="http://schemas.microsoft.com/office/drawing/2014/main" id="{4F53FB2A-1E89-8E43-B7FC-3754DB0BA16B}"/>
            </a:ext>
          </a:extLst>
        </xdr:cNvPr>
        <xdr:cNvSpPr/>
      </xdr:nvSpPr>
      <xdr:spPr>
        <a:xfrm>
          <a:off x="10020300" y="927100"/>
          <a:ext cx="2184400" cy="1270000"/>
        </a:xfrm>
        <a:prstGeom prst="snip2Diag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3">
                  <a:lumMod val="50000"/>
                </a:schemeClr>
              </a:solidFill>
            </a:rPr>
            <a:t>700,767.24</a:t>
          </a:r>
        </a:p>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chemeClr val="accent3">
                  <a:lumMod val="50000"/>
                </a:schemeClr>
              </a:solidFill>
            </a:rPr>
            <a:t>TOTAL PAID AMOUNT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0.894935185184" createdVersion="8" refreshedVersion="8" minRefreshableVersion="3" recordCount="200" xr:uid="{B35608D8-948C-824A-92EB-6EF6E67F52EB}">
  <cacheSource type="worksheet">
    <worksheetSource name="Claims_data"/>
  </cacheSource>
  <cacheFields count="19">
    <cacheField name="Claim ID" numFmtId="0">
      <sharedItems/>
    </cacheField>
    <cacheField name="Member ID" numFmtId="0">
      <sharedItems count="47">
        <s v="M0006"/>
        <s v="M0027"/>
        <s v="M0015"/>
        <s v="M0039"/>
        <s v="M0044"/>
        <s v="M0014"/>
        <s v="M0028"/>
        <s v="M0049"/>
        <s v="M0005"/>
        <s v="M0038"/>
        <s v="M0016"/>
        <s v="M0007"/>
        <s v="M0036"/>
        <s v="M0011"/>
        <s v="M0010"/>
        <s v="M0004"/>
        <s v="M0040"/>
        <s v="M0030"/>
        <s v="M0009"/>
        <s v="M0033"/>
        <s v="M0048"/>
        <s v="M0043"/>
        <s v="M0024"/>
        <s v="M0019"/>
        <s v="M0050"/>
        <s v="M0041"/>
        <s v="M0035"/>
        <s v="M0023"/>
        <s v="M0037"/>
        <s v="M0020"/>
        <s v="M0045"/>
        <s v="M0029"/>
        <s v="M0026"/>
        <s v="M0003"/>
        <s v="M0008"/>
        <s v="M0025"/>
        <s v="M0013"/>
        <s v="M0018"/>
        <s v="M0021"/>
        <s v="M0042"/>
        <s v="M0017"/>
        <s v="M0032"/>
        <s v="M0012"/>
        <s v="M0047"/>
        <s v="M0001"/>
        <s v="M0031"/>
        <s v="M0034"/>
      </sharedItems>
    </cacheField>
    <cacheField name="Age" numFmtId="0">
      <sharedItems containsSemiMixedTypes="0" containsString="0" containsNumber="1" containsInteger="1" minValue="25" maxValue="75"/>
    </cacheField>
    <cacheField name="Gender" numFmtId="0">
      <sharedItems count="2">
        <s v="F"/>
        <s v="M"/>
      </sharedItems>
    </cacheField>
    <cacheField name="Plan" numFmtId="0">
      <sharedItems count="3">
        <s v="Gold"/>
        <s v="Bronze"/>
        <s v="Silver"/>
      </sharedItems>
    </cacheField>
    <cacheField name="Provider ID" numFmtId="0">
      <sharedItems/>
    </cacheField>
    <cacheField name="Provider Name" numFmtId="0">
      <sharedItems count="5">
        <s v="City General Hospital"/>
        <s v="Westside Clinic"/>
        <s v="Northpark Family Practice"/>
        <s v="Metro ER"/>
        <s v="Southside Specialists"/>
      </sharedItems>
    </cacheField>
    <cacheField name="Provider Type" numFmtId="0">
      <sharedItems count="3">
        <s v="Inpatient"/>
        <s v="Outpatient"/>
        <s v="Emergency"/>
      </sharedItems>
    </cacheField>
    <cacheField name="Service Date" numFmtId="164">
      <sharedItems containsSemiMixedTypes="0" containsNonDate="0" containsDate="1" containsString="0" minDate="2024-01-01T00:00:00" maxDate="2024-12-27T00:00:00" count="149">
        <d v="2024-12-01T00:00:00"/>
        <d v="2024-09-09T00:00:00"/>
        <d v="2024-06-28T00:00:00"/>
        <d v="2024-01-20T00:00:00"/>
        <d v="2024-12-15T00:00:00"/>
        <d v="2024-06-24T00:00:00"/>
        <d v="2024-07-27T00:00:00"/>
        <d v="2024-05-21T00:00:00"/>
        <d v="2024-03-08T00:00:00"/>
        <d v="2024-02-13T00:00:00"/>
        <d v="2024-09-10T00:00:00"/>
        <d v="2024-01-10T00:00:00"/>
        <d v="2024-03-04T00:00:00"/>
        <d v="2024-01-22T00:00:00"/>
        <d v="2024-05-10T00:00:00"/>
        <d v="2024-09-08T00:00:00"/>
        <d v="2024-04-18T00:00:00"/>
        <d v="2024-08-14T00:00:00"/>
        <d v="2024-11-18T00:00:00"/>
        <d v="2024-03-18T00:00:00"/>
        <d v="2024-03-09T00:00:00"/>
        <d v="2024-12-02T00:00:00"/>
        <d v="2024-01-03T00:00:00"/>
        <d v="2024-02-19T00:00:00"/>
        <d v="2024-11-15T00:00:00"/>
        <d v="2024-04-15T00:00:00"/>
        <d v="2024-01-24T00:00:00"/>
        <d v="2024-10-03T00:00:00"/>
        <d v="2024-01-01T00:00:00"/>
        <d v="2024-09-26T00:00:00"/>
        <d v="2024-11-28T00:00:00"/>
        <d v="2024-01-06T00:00:00"/>
        <d v="2024-08-07T00:00:00"/>
        <d v="2024-02-04T00:00:00"/>
        <d v="2024-05-19T00:00:00"/>
        <d v="2024-12-11T00:00:00"/>
        <d v="2024-09-22T00:00:00"/>
        <d v="2024-10-15T00:00:00"/>
        <d v="2024-08-27T00:00:00"/>
        <d v="2024-04-21T00:00:00"/>
        <d v="2024-07-26T00:00:00"/>
        <d v="2024-04-20T00:00:00"/>
        <d v="2024-12-13T00:00:00"/>
        <d v="2024-07-13T00:00:00"/>
        <d v="2024-05-08T00:00:00"/>
        <d v="2024-01-19T00:00:00"/>
        <d v="2024-03-25T00:00:00"/>
        <d v="2024-05-02T00:00:00"/>
        <d v="2024-01-09T00:00:00"/>
        <d v="2024-10-19T00:00:00"/>
        <d v="2024-02-26T00:00:00"/>
        <d v="2024-07-12T00:00:00"/>
        <d v="2024-03-27T00:00:00"/>
        <d v="2024-02-01T00:00:00"/>
        <d v="2024-08-10T00:00:00"/>
        <d v="2024-05-23T00:00:00"/>
        <d v="2024-05-07T00:00:00"/>
        <d v="2024-09-01T00:00:00"/>
        <d v="2024-01-16T00:00:00"/>
        <d v="2024-01-21T00:00:00"/>
        <d v="2024-10-13T00:00:00"/>
        <d v="2024-10-07T00:00:00"/>
        <d v="2024-04-02T00:00:00"/>
        <d v="2024-12-04T00:00:00"/>
        <d v="2024-03-23T00:00:00"/>
        <d v="2024-09-03T00:00:00"/>
        <d v="2024-01-17T00:00:00"/>
        <d v="2024-10-22T00:00:00"/>
        <d v="2024-07-09T00:00:00"/>
        <d v="2024-09-12T00:00:00"/>
        <d v="2024-04-06T00:00:00"/>
        <d v="2024-09-23T00:00:00"/>
        <d v="2024-07-17T00:00:00"/>
        <d v="2024-07-19T00:00:00"/>
        <d v="2024-01-02T00:00:00"/>
        <d v="2024-10-25T00:00:00"/>
        <d v="2024-12-05T00:00:00"/>
        <d v="2024-11-08T00:00:00"/>
        <d v="2024-10-24T00:00:00"/>
        <d v="2024-10-04T00:00:00"/>
        <d v="2024-01-07T00:00:00"/>
        <d v="2024-09-15T00:00:00"/>
        <d v="2024-11-09T00:00:00"/>
        <d v="2024-11-01T00:00:00"/>
        <d v="2024-11-02T00:00:00"/>
        <d v="2024-02-24T00:00:00"/>
        <d v="2024-08-28T00:00:00"/>
        <d v="2024-06-14T00:00:00"/>
        <d v="2024-08-26T00:00:00"/>
        <d v="2024-02-17T00:00:00"/>
        <d v="2024-11-11T00:00:00"/>
        <d v="2024-12-03T00:00:00"/>
        <d v="2024-12-22T00:00:00"/>
        <d v="2024-06-22T00:00:00"/>
        <d v="2024-05-05T00:00:00"/>
        <d v="2024-04-05T00:00:00"/>
        <d v="2024-11-25T00:00:00"/>
        <d v="2024-02-02T00:00:00"/>
        <d v="2024-07-11T00:00:00"/>
        <d v="2024-06-19T00:00:00"/>
        <d v="2024-02-20T00:00:00"/>
        <d v="2024-09-16T00:00:00"/>
        <d v="2024-02-08T00:00:00"/>
        <d v="2024-09-20T00:00:00"/>
        <d v="2024-11-26T00:00:00"/>
        <d v="2024-02-25T00:00:00"/>
        <d v="2024-03-11T00:00:00"/>
        <d v="2024-03-12T00:00:00"/>
        <d v="2024-05-12T00:00:00"/>
        <d v="2024-07-21T00:00:00"/>
        <d v="2024-04-13T00:00:00"/>
        <d v="2024-01-27T00:00:00"/>
        <d v="2024-08-25T00:00:00"/>
        <d v="2024-02-18T00:00:00"/>
        <d v="2024-04-22T00:00:00"/>
        <d v="2024-11-23T00:00:00"/>
        <d v="2024-01-11T00:00:00"/>
        <d v="2024-06-10T00:00:00"/>
        <d v="2024-06-15T00:00:00"/>
        <d v="2024-01-15T00:00:00"/>
        <d v="2024-12-26T00:00:00"/>
        <d v="2024-09-07T00:00:00"/>
        <d v="2024-07-22T00:00:00"/>
        <d v="2024-11-06T00:00:00"/>
        <d v="2024-06-21T00:00:00"/>
        <d v="2024-11-21T00:00:00"/>
        <d v="2024-04-14T00:00:00"/>
        <d v="2024-06-18T00:00:00"/>
        <d v="2024-08-18T00:00:00"/>
        <d v="2024-05-04T00:00:00"/>
        <d v="2024-09-02T00:00:00"/>
        <d v="2024-05-26T00:00:00"/>
        <d v="2024-08-19T00:00:00"/>
        <d v="2024-08-24T00:00:00"/>
        <d v="2024-04-11T00:00:00"/>
        <d v="2024-06-27T00:00:00"/>
        <d v="2024-06-16T00:00:00"/>
        <d v="2024-08-20T00:00:00"/>
        <d v="2024-12-20T00:00:00"/>
        <d v="2024-06-09T00:00:00"/>
        <d v="2024-05-20T00:00:00"/>
        <d v="2024-02-14T00:00:00"/>
        <d v="2024-04-25T00:00:00"/>
        <d v="2024-02-15T00:00:00"/>
        <d v="2024-07-16T00:00:00"/>
        <d v="2024-09-28T00:00:00"/>
        <d v="2024-08-09T00:00:00"/>
        <d v="2024-06-11T00:00:00"/>
        <d v="2024-07-02T00:00:00"/>
      </sharedItems>
    </cacheField>
    <cacheField name="Month" numFmtId="164">
      <sharedItems count="12">
        <s v="Dec"/>
        <s v="Sep"/>
        <s v="Jun"/>
        <s v="Jan"/>
        <s v="Jul"/>
        <s v="May"/>
        <s v="Mar"/>
        <s v="Feb"/>
        <s v="Apr"/>
        <s v="Aug"/>
        <s v="Nov"/>
        <s v="Oct"/>
      </sharedItems>
    </cacheField>
    <cacheField name="ICD-10 Code" numFmtId="0">
      <sharedItems/>
    </cacheField>
    <cacheField name="Diagnosis" numFmtId="0">
      <sharedItems count="10">
        <s v="Type 2 Diabetes"/>
        <s v="Low Back Pain"/>
        <s v="Hypertension"/>
        <s v="Forearm Fracture"/>
        <s v="GERD"/>
        <s v="Vaccination"/>
        <s v="Asthma"/>
        <s v="UTI"/>
        <s v="Depression"/>
        <s v="Upper Respiratory Infection"/>
      </sharedItems>
    </cacheField>
    <cacheField name="Billed Amount ($)" numFmtId="4">
      <sharedItems containsSemiMixedTypes="0" containsString="0" containsNumber="1" minValue="183.6" maxValue="11994.93" count="200">
        <n v="3409.1"/>
        <n v="7283.92"/>
        <n v="3442.78"/>
        <n v="8797.32"/>
        <n v="974.23"/>
        <n v="2632.66"/>
        <n v="3348.88"/>
        <n v="934.33"/>
        <n v="3072.54"/>
        <n v="9106.02"/>
        <n v="10350.24"/>
        <n v="11452.72"/>
        <n v="6541.64"/>
        <n v="3004.33"/>
        <n v="6402.93"/>
        <n v="5500.11"/>
        <n v="948.69"/>
        <n v="3029.52"/>
        <n v="7893.45"/>
        <n v="3450.76"/>
        <n v="4966.01"/>
        <n v="11494.21"/>
        <n v="7072.5"/>
        <n v="11307.91"/>
        <n v="8636.8700000000008"/>
        <n v="6144.73"/>
        <n v="8064.18"/>
        <n v="2645.96"/>
        <n v="4102.6400000000003"/>
        <n v="576.92999999999995"/>
        <n v="3106.93"/>
        <n v="2275.42"/>
        <n v="2785.84"/>
        <n v="11607.64"/>
        <n v="603.35"/>
        <n v="5317.28"/>
        <n v="3815.02"/>
        <n v="3716.26"/>
        <n v="9555.76"/>
        <n v="1896.14"/>
        <n v="3041.22"/>
        <n v="11022.02"/>
        <n v="8962.32"/>
        <n v="3535.88"/>
        <n v="4980.05"/>
        <n v="9078.68"/>
        <n v="4757.96"/>
        <n v="10422.19"/>
        <n v="10043.69"/>
        <n v="7512.83"/>
        <n v="11570.26"/>
        <n v="7166.36"/>
        <n v="7989.03"/>
        <n v="8845.4699999999993"/>
        <n v="3455.3"/>
        <n v="2663.62"/>
        <n v="6728.84"/>
        <n v="8017.93"/>
        <n v="2881.88"/>
        <n v="7221.97"/>
        <n v="6707.3"/>
        <n v="3141.87"/>
        <n v="11397.14"/>
        <n v="11881.87"/>
        <n v="2209.69"/>
        <n v="10336.34"/>
        <n v="996.21"/>
        <n v="6548.78"/>
        <n v="11994.93"/>
        <n v="5315.24"/>
        <n v="8370.0300000000007"/>
        <n v="9925.39"/>
        <n v="3314.62"/>
        <n v="4984.6899999999996"/>
        <n v="10041.48"/>
        <n v="4177.5200000000004"/>
        <n v="5889.45"/>
        <n v="3920.39"/>
        <n v="10455.950000000001"/>
        <n v="4161.95"/>
        <n v="960.79"/>
        <n v="3698.67"/>
        <n v="8229.33"/>
        <n v="3159.63"/>
        <n v="11550.04"/>
        <n v="3656.09"/>
        <n v="9652.89"/>
        <n v="7017.95"/>
        <n v="6096.27"/>
        <n v="8731.9699999999993"/>
        <n v="9025.7900000000009"/>
        <n v="899.12"/>
        <n v="1301.73"/>
        <n v="7445.48"/>
        <n v="10835.1"/>
        <n v="9473.52"/>
        <n v="183.6"/>
        <n v="9511.32"/>
        <n v="9369.5"/>
        <n v="11983.25"/>
        <n v="1645.37"/>
        <n v="7863.36"/>
        <n v="1276.77"/>
        <n v="8973.3799999999992"/>
        <n v="759.64"/>
        <n v="10167.68"/>
        <n v="8476.98"/>
        <n v="4607.8999999999996"/>
        <n v="1116.74"/>
        <n v="3506.47"/>
        <n v="9243.09"/>
        <n v="6770.87"/>
        <n v="6944.79"/>
        <n v="10157.14"/>
        <n v="6199.23"/>
        <n v="7288.43"/>
        <n v="10391.33"/>
        <n v="3828.33"/>
        <n v="11457.64"/>
        <n v="9759.9599999999991"/>
        <n v="7376.19"/>
        <n v="1269.9000000000001"/>
        <n v="8426.99"/>
        <n v="7805.39"/>
        <n v="1986.1"/>
        <n v="2072.63"/>
        <n v="9065.84"/>
        <n v="6109.44"/>
        <n v="8580.1"/>
        <n v="9827.93"/>
        <n v="3926.42"/>
        <n v="7441.88"/>
        <n v="715.83"/>
        <n v="8664.75"/>
        <n v="11447.83"/>
        <n v="342.47"/>
        <n v="2224.81"/>
        <n v="669.1"/>
        <n v="10409.709999999999"/>
        <n v="11103.08"/>
        <n v="7981.89"/>
        <n v="3403.48"/>
        <n v="8185.35"/>
        <n v="5481.58"/>
        <n v="8867.75"/>
        <n v="11010.28"/>
        <n v="6574.73"/>
        <n v="4426.62"/>
        <n v="9264.6"/>
        <n v="7115.26"/>
        <n v="11377.68"/>
        <n v="6105.49"/>
        <n v="9286.6200000000008"/>
        <n v="9685.5499999999993"/>
        <n v="7338.92"/>
        <n v="1601.88"/>
        <n v="3855.67"/>
        <n v="11605.24"/>
        <n v="10607.1"/>
        <n v="1021.35"/>
        <n v="11276.54"/>
        <n v="5565.31"/>
        <n v="9965.23"/>
        <n v="9591.5400000000009"/>
        <n v="2170.5700000000002"/>
        <n v="3867.26"/>
        <n v="6796.51"/>
        <n v="2428.33"/>
        <n v="6791.78"/>
        <n v="3558.42"/>
        <n v="1444.33"/>
        <n v="8650.69"/>
        <n v="3532.17"/>
        <n v="2357.79"/>
        <n v="11870.83"/>
        <n v="5588.14"/>
        <n v="1177.8399999999999"/>
        <n v="11455.31"/>
        <n v="2042.64"/>
        <n v="1965.25"/>
        <n v="6377.25"/>
        <n v="5385.81"/>
        <n v="6832.35"/>
        <n v="686.68"/>
        <n v="11915.35"/>
        <n v="4807.74"/>
        <n v="3083.02"/>
        <n v="1345.63"/>
        <n v="1810.61"/>
        <n v="3710.94"/>
        <n v="3927"/>
        <n v="10989.68"/>
        <n v="10188.530000000001"/>
        <n v="8733.02"/>
        <n v="7312.16"/>
        <n v="6226.88"/>
        <n v="8933.84"/>
        <n v="6902.01"/>
        <n v="9570.4599999999991"/>
        <n v="1779.27"/>
      </sharedItems>
    </cacheField>
    <cacheField name="Allowed Amount ($)" numFmtId="4">
      <sharedItems containsSemiMixedTypes="0" containsString="0" containsNumber="1" minValue="148.26" maxValue="9754.2900000000009"/>
    </cacheField>
    <cacheField name="Member Copay ($)" numFmtId="4">
      <sharedItems containsSemiMixedTypes="0" containsString="0" containsNumber="1" minValue="20.05" maxValue="147.91"/>
    </cacheField>
    <cacheField name="Paid Amount ($)" numFmtId="4">
      <sharedItems containsSemiMixedTypes="0" containsString="0" containsNumber="1" minValue="0" maxValue="9561.3799999999992"/>
    </cacheField>
    <cacheField name="Claim Status" numFmtId="0">
      <sharedItems count="3">
        <s v="Pending"/>
        <s v="Approved"/>
        <s v="Denied"/>
      </sharedItems>
    </cacheField>
    <cacheField name="Prior Auth Required" numFmtId="0">
      <sharedItems count="2">
        <s v="Yes"/>
        <s v="No"/>
      </sharedItems>
    </cacheField>
    <cacheField name="Write-off Rate" numFmtId="9">
      <sharedItems containsSemiMixedTypes="0" containsString="0" containsNumber="1" minValue="0.16107386560546852" maxValue="1"/>
    </cacheField>
  </cacheFields>
  <extLst>
    <ext xmlns:x14="http://schemas.microsoft.com/office/spreadsheetml/2009/9/main" uri="{725AE2AE-9491-48be-B2B4-4EB974FC3084}">
      <x14:pivotCacheDefinition pivotCacheId="2022070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LM00001"/>
    <x v="0"/>
    <n v="62"/>
    <x v="0"/>
    <x v="0"/>
    <s v="PV001"/>
    <x v="0"/>
    <x v="0"/>
    <x v="0"/>
    <x v="0"/>
    <s v="E11.9"/>
    <x v="0"/>
    <x v="0"/>
    <n v="2103.29"/>
    <n v="115.74"/>
    <n v="1987.55"/>
    <x v="0"/>
    <x v="0"/>
    <n v="0.41698688803496525"/>
  </r>
  <r>
    <s v="CLM00002"/>
    <x v="1"/>
    <n v="39"/>
    <x v="0"/>
    <x v="1"/>
    <s v="PV002"/>
    <x v="1"/>
    <x v="1"/>
    <x v="1"/>
    <x v="1"/>
    <s v="M54.5"/>
    <x v="1"/>
    <x v="1"/>
    <n v="5232.58"/>
    <n v="113.08"/>
    <n v="5119.5"/>
    <x v="0"/>
    <x v="0"/>
    <n v="0.29715043547979658"/>
  </r>
  <r>
    <s v="CLM00003"/>
    <x v="0"/>
    <n v="49"/>
    <x v="1"/>
    <x v="2"/>
    <s v="PV004"/>
    <x v="2"/>
    <x v="1"/>
    <x v="2"/>
    <x v="2"/>
    <s v="I10"/>
    <x v="2"/>
    <x v="2"/>
    <n v="2115.91"/>
    <n v="119.25"/>
    <n v="1996.66"/>
    <x v="1"/>
    <x v="1"/>
    <n v="0.42004426655203064"/>
  </r>
  <r>
    <s v="CLM00004"/>
    <x v="0"/>
    <n v="60"/>
    <x v="0"/>
    <x v="1"/>
    <s v="PV003"/>
    <x v="3"/>
    <x v="2"/>
    <x v="3"/>
    <x v="3"/>
    <s v="S52.501A"/>
    <x v="3"/>
    <x v="3"/>
    <n v="6253.74"/>
    <n v="146.51"/>
    <n v="0"/>
    <x v="2"/>
    <x v="1"/>
    <n v="1"/>
  </r>
  <r>
    <s v="CLM00005"/>
    <x v="2"/>
    <n v="31"/>
    <x v="0"/>
    <x v="2"/>
    <s v="PV002"/>
    <x v="1"/>
    <x v="1"/>
    <x v="4"/>
    <x v="0"/>
    <s v="S52.501A"/>
    <x v="3"/>
    <x v="4"/>
    <n v="729.09"/>
    <n v="120.5"/>
    <n v="608.59"/>
    <x v="1"/>
    <x v="1"/>
    <n v="0.37531178469149995"/>
  </r>
  <r>
    <s v="CLM00006"/>
    <x v="3"/>
    <n v="65"/>
    <x v="1"/>
    <x v="1"/>
    <s v="PV003"/>
    <x v="3"/>
    <x v="2"/>
    <x v="5"/>
    <x v="2"/>
    <s v="I10"/>
    <x v="2"/>
    <x v="5"/>
    <n v="1658.82"/>
    <n v="141.77000000000001"/>
    <n v="1517.05"/>
    <x v="1"/>
    <x v="0"/>
    <n v="0.42375772032848902"/>
  </r>
  <r>
    <s v="CLM00007"/>
    <x v="4"/>
    <n v="45"/>
    <x v="1"/>
    <x v="0"/>
    <s v="PV004"/>
    <x v="2"/>
    <x v="1"/>
    <x v="6"/>
    <x v="4"/>
    <s v="I10"/>
    <x v="2"/>
    <x v="6"/>
    <n v="2771.59"/>
    <n v="109.46"/>
    <n v="2662.13"/>
    <x v="1"/>
    <x v="0"/>
    <n v="0.20506856023506365"/>
  </r>
  <r>
    <s v="CLM00008"/>
    <x v="5"/>
    <n v="66"/>
    <x v="0"/>
    <x v="2"/>
    <s v="PV004"/>
    <x v="2"/>
    <x v="1"/>
    <x v="7"/>
    <x v="5"/>
    <s v="K21.0"/>
    <x v="4"/>
    <x v="7"/>
    <n v="769.83"/>
    <n v="93.73"/>
    <n v="676.1"/>
    <x v="1"/>
    <x v="1"/>
    <n v="0.27637986578617835"/>
  </r>
  <r>
    <s v="CLM00009"/>
    <x v="6"/>
    <n v="62"/>
    <x v="0"/>
    <x v="2"/>
    <s v="PV003"/>
    <x v="3"/>
    <x v="2"/>
    <x v="8"/>
    <x v="6"/>
    <s v="I10"/>
    <x v="2"/>
    <x v="8"/>
    <n v="2207.34"/>
    <n v="54.16"/>
    <n v="2153.1799999999998"/>
    <x v="0"/>
    <x v="0"/>
    <n v="0.2992182363777201"/>
  </r>
  <r>
    <s v="CLM00010"/>
    <x v="4"/>
    <n v="52"/>
    <x v="1"/>
    <x v="2"/>
    <s v="PV004"/>
    <x v="2"/>
    <x v="1"/>
    <x v="9"/>
    <x v="7"/>
    <s v="Z23"/>
    <x v="5"/>
    <x v="9"/>
    <n v="7360.68"/>
    <n v="39.869999999999997"/>
    <n v="7320.81"/>
    <x v="1"/>
    <x v="1"/>
    <n v="0.19604723029380564"/>
  </r>
  <r>
    <s v="CLM00011"/>
    <x v="7"/>
    <n v="42"/>
    <x v="0"/>
    <x v="0"/>
    <s v="PV003"/>
    <x v="3"/>
    <x v="2"/>
    <x v="10"/>
    <x v="1"/>
    <s v="Z23"/>
    <x v="5"/>
    <x v="10"/>
    <n v="5728.28"/>
    <n v="113.69"/>
    <n v="5614.59"/>
    <x v="0"/>
    <x v="1"/>
    <n v="0.45754011501182579"/>
  </r>
  <r>
    <s v="CLM00012"/>
    <x v="7"/>
    <n v="36"/>
    <x v="1"/>
    <x v="1"/>
    <s v="PV004"/>
    <x v="2"/>
    <x v="1"/>
    <x v="11"/>
    <x v="3"/>
    <s v="I10"/>
    <x v="2"/>
    <x v="11"/>
    <n v="9308.27"/>
    <n v="54.24"/>
    <n v="9254.0300000000007"/>
    <x v="0"/>
    <x v="0"/>
    <n v="0.19197972184773562"/>
  </r>
  <r>
    <s v="CLM00013"/>
    <x v="3"/>
    <n v="45"/>
    <x v="0"/>
    <x v="0"/>
    <s v="PV003"/>
    <x v="3"/>
    <x v="2"/>
    <x v="12"/>
    <x v="6"/>
    <s v="I10"/>
    <x v="2"/>
    <x v="12"/>
    <n v="5125.95"/>
    <n v="88.95"/>
    <n v="5037"/>
    <x v="1"/>
    <x v="1"/>
    <n v="0.23000960003913395"/>
  </r>
  <r>
    <s v="CLM00014"/>
    <x v="8"/>
    <n v="73"/>
    <x v="1"/>
    <x v="0"/>
    <s v="PV002"/>
    <x v="1"/>
    <x v="1"/>
    <x v="13"/>
    <x v="3"/>
    <s v="J45.909"/>
    <x v="6"/>
    <x v="13"/>
    <n v="2163.7399999999998"/>
    <n v="30.24"/>
    <n v="0"/>
    <x v="2"/>
    <x v="1"/>
    <n v="1"/>
  </r>
  <r>
    <s v="CLM00015"/>
    <x v="7"/>
    <n v="71"/>
    <x v="1"/>
    <x v="1"/>
    <s v="PV002"/>
    <x v="1"/>
    <x v="1"/>
    <x v="14"/>
    <x v="5"/>
    <s v="Z23"/>
    <x v="5"/>
    <x v="14"/>
    <n v="4686.8100000000004"/>
    <n v="145.37"/>
    <n v="4541.4399999999996"/>
    <x v="0"/>
    <x v="1"/>
    <n v="0.29072471509137232"/>
  </r>
  <r>
    <s v="CLM00016"/>
    <x v="9"/>
    <n v="60"/>
    <x v="1"/>
    <x v="1"/>
    <s v="PV004"/>
    <x v="2"/>
    <x v="1"/>
    <x v="15"/>
    <x v="1"/>
    <s v="K21.0"/>
    <x v="4"/>
    <x v="15"/>
    <n v="3434.11"/>
    <n v="28.32"/>
    <n v="3405.79"/>
    <x v="1"/>
    <x v="0"/>
    <n v="0.38077783898867473"/>
  </r>
  <r>
    <s v="CLM00017"/>
    <x v="10"/>
    <n v="42"/>
    <x v="0"/>
    <x v="0"/>
    <s v="PV001"/>
    <x v="0"/>
    <x v="0"/>
    <x v="16"/>
    <x v="8"/>
    <s v="E11.9"/>
    <x v="0"/>
    <x v="16"/>
    <n v="530.72"/>
    <n v="62.96"/>
    <n v="467.76"/>
    <x v="0"/>
    <x v="0"/>
    <n v="0.50694115042848564"/>
  </r>
  <r>
    <s v="CLM00018"/>
    <x v="11"/>
    <n v="67"/>
    <x v="0"/>
    <x v="2"/>
    <s v="PV005"/>
    <x v="4"/>
    <x v="1"/>
    <x v="17"/>
    <x v="9"/>
    <s v="S52.501A"/>
    <x v="3"/>
    <x v="17"/>
    <n v="2096.1"/>
    <n v="72.92"/>
    <n v="2023.18"/>
    <x v="1"/>
    <x v="1"/>
    <n v="0.33217803480419339"/>
  </r>
  <r>
    <s v="CLM00019"/>
    <x v="11"/>
    <n v="40"/>
    <x v="1"/>
    <x v="0"/>
    <s v="PV001"/>
    <x v="0"/>
    <x v="0"/>
    <x v="18"/>
    <x v="10"/>
    <s v="N39.0"/>
    <x v="7"/>
    <x v="18"/>
    <n v="5871.57"/>
    <n v="27.88"/>
    <n v="5843.69"/>
    <x v="1"/>
    <x v="1"/>
    <n v="0.25967859427753393"/>
  </r>
  <r>
    <s v="CLM00020"/>
    <x v="12"/>
    <n v="31"/>
    <x v="1"/>
    <x v="1"/>
    <s v="PV004"/>
    <x v="2"/>
    <x v="1"/>
    <x v="19"/>
    <x v="6"/>
    <s v="I10"/>
    <x v="2"/>
    <x v="19"/>
    <n v="2156.52"/>
    <n v="140.02000000000001"/>
    <n v="0"/>
    <x v="2"/>
    <x v="0"/>
    <n v="1"/>
  </r>
  <r>
    <s v="CLM00021"/>
    <x v="13"/>
    <n v="49"/>
    <x v="1"/>
    <x v="2"/>
    <s v="PV002"/>
    <x v="1"/>
    <x v="1"/>
    <x v="20"/>
    <x v="6"/>
    <s v="E11.9"/>
    <x v="0"/>
    <x v="20"/>
    <n v="3448.43"/>
    <n v="132.4"/>
    <n v="3316.03"/>
    <x v="1"/>
    <x v="1"/>
    <n v="0.33225466722781466"/>
  </r>
  <r>
    <s v="CLM00022"/>
    <x v="14"/>
    <n v="37"/>
    <x v="0"/>
    <x v="0"/>
    <s v="PV004"/>
    <x v="2"/>
    <x v="1"/>
    <x v="21"/>
    <x v="0"/>
    <s v="J45.909"/>
    <x v="6"/>
    <x v="21"/>
    <n v="9754.2900000000009"/>
    <n v="92.25"/>
    <n v="0"/>
    <x v="2"/>
    <x v="0"/>
    <n v="1"/>
  </r>
  <r>
    <s v="CLM00023"/>
    <x v="15"/>
    <n v="57"/>
    <x v="1"/>
    <x v="0"/>
    <s v="PV001"/>
    <x v="0"/>
    <x v="0"/>
    <x v="22"/>
    <x v="3"/>
    <s v="K21.0"/>
    <x v="4"/>
    <x v="22"/>
    <n v="4956.8"/>
    <n v="130.85"/>
    <n v="4825.95"/>
    <x v="1"/>
    <x v="0"/>
    <n v="0.31764581124072111"/>
  </r>
  <r>
    <s v="CLM00024"/>
    <x v="16"/>
    <n v="30"/>
    <x v="0"/>
    <x v="1"/>
    <s v="PV004"/>
    <x v="2"/>
    <x v="1"/>
    <x v="23"/>
    <x v="7"/>
    <s v="M54.5"/>
    <x v="1"/>
    <x v="23"/>
    <n v="8151.9"/>
    <n v="95.26"/>
    <n v="8056.64"/>
    <x v="1"/>
    <x v="1"/>
    <n v="0.28752174362901717"/>
  </r>
  <r>
    <s v="CLM00025"/>
    <x v="17"/>
    <n v="45"/>
    <x v="1"/>
    <x v="0"/>
    <s v="PV002"/>
    <x v="1"/>
    <x v="1"/>
    <x v="24"/>
    <x v="10"/>
    <s v="J45.909"/>
    <x v="6"/>
    <x v="24"/>
    <n v="5368.73"/>
    <n v="71.45"/>
    <n v="5297.28"/>
    <x v="1"/>
    <x v="0"/>
    <n v="0.38666669754204946"/>
  </r>
  <r>
    <s v="CLM00026"/>
    <x v="10"/>
    <n v="48"/>
    <x v="0"/>
    <x v="0"/>
    <s v="PV005"/>
    <x v="4"/>
    <x v="1"/>
    <x v="25"/>
    <x v="8"/>
    <s v="E11.9"/>
    <x v="0"/>
    <x v="25"/>
    <n v="3623.77"/>
    <n v="65.37"/>
    <n v="3558.4"/>
    <x v="1"/>
    <x v="1"/>
    <n v="0.42090213890602185"/>
  </r>
  <r>
    <s v="CLM00027"/>
    <x v="18"/>
    <n v="41"/>
    <x v="1"/>
    <x v="0"/>
    <s v="PV005"/>
    <x v="4"/>
    <x v="1"/>
    <x v="26"/>
    <x v="3"/>
    <s v="S52.501A"/>
    <x v="3"/>
    <x v="26"/>
    <n v="5777.02"/>
    <n v="141.13"/>
    <n v="5635.89"/>
    <x v="1"/>
    <x v="0"/>
    <n v="0.30112051070288609"/>
  </r>
  <r>
    <s v="CLM00028"/>
    <x v="19"/>
    <n v="56"/>
    <x v="0"/>
    <x v="0"/>
    <s v="PV003"/>
    <x v="3"/>
    <x v="2"/>
    <x v="27"/>
    <x v="11"/>
    <s v="J45.909"/>
    <x v="6"/>
    <x v="27"/>
    <n v="1727.45"/>
    <n v="109.37"/>
    <n v="1618.08"/>
    <x v="1"/>
    <x v="1"/>
    <n v="0.38847148105035606"/>
  </r>
  <r>
    <s v="CLM00029"/>
    <x v="20"/>
    <n v="53"/>
    <x v="0"/>
    <x v="1"/>
    <s v="PV001"/>
    <x v="0"/>
    <x v="0"/>
    <x v="28"/>
    <x v="3"/>
    <s v="J45.909"/>
    <x v="6"/>
    <x v="28"/>
    <n v="2417.46"/>
    <n v="147.37"/>
    <n v="2270.09"/>
    <x v="1"/>
    <x v="0"/>
    <n v="0.44667579899771853"/>
  </r>
  <r>
    <s v="CLM00030"/>
    <x v="18"/>
    <n v="27"/>
    <x v="0"/>
    <x v="2"/>
    <s v="PV002"/>
    <x v="1"/>
    <x v="1"/>
    <x v="29"/>
    <x v="1"/>
    <s v="E11.9"/>
    <x v="0"/>
    <x v="29"/>
    <n v="381.22"/>
    <n v="91.83"/>
    <n v="0"/>
    <x v="2"/>
    <x v="0"/>
    <n v="1"/>
  </r>
  <r>
    <s v="CLM00031"/>
    <x v="16"/>
    <n v="72"/>
    <x v="1"/>
    <x v="0"/>
    <s v="PV002"/>
    <x v="1"/>
    <x v="1"/>
    <x v="30"/>
    <x v="10"/>
    <s v="K21.0"/>
    <x v="4"/>
    <x v="30"/>
    <n v="1804.62"/>
    <n v="121.42"/>
    <n v="0"/>
    <x v="2"/>
    <x v="0"/>
    <n v="1"/>
  </r>
  <r>
    <s v="CLM00032"/>
    <x v="21"/>
    <n v="72"/>
    <x v="1"/>
    <x v="2"/>
    <s v="PV004"/>
    <x v="2"/>
    <x v="1"/>
    <x v="31"/>
    <x v="3"/>
    <s v="I10"/>
    <x v="2"/>
    <x v="31"/>
    <n v="1882.56"/>
    <n v="121.71"/>
    <n v="0"/>
    <x v="2"/>
    <x v="0"/>
    <n v="1"/>
  </r>
  <r>
    <s v="CLM00033"/>
    <x v="2"/>
    <n v="39"/>
    <x v="1"/>
    <x v="1"/>
    <s v="PV001"/>
    <x v="0"/>
    <x v="0"/>
    <x v="32"/>
    <x v="9"/>
    <s v="F32.9"/>
    <x v="8"/>
    <x v="32"/>
    <n v="2214.6799999999998"/>
    <n v="79.84"/>
    <n v="2134.84"/>
    <x v="1"/>
    <x v="1"/>
    <n v="0.233681762053815"/>
  </r>
  <r>
    <s v="CLM00034"/>
    <x v="4"/>
    <n v="59"/>
    <x v="0"/>
    <x v="0"/>
    <s v="PV003"/>
    <x v="3"/>
    <x v="2"/>
    <x v="33"/>
    <x v="7"/>
    <s v="K21.0"/>
    <x v="4"/>
    <x v="33"/>
    <n v="7356.2"/>
    <n v="103.39"/>
    <n v="0"/>
    <x v="2"/>
    <x v="1"/>
    <n v="1"/>
  </r>
  <r>
    <s v="CLM00035"/>
    <x v="6"/>
    <n v="63"/>
    <x v="1"/>
    <x v="2"/>
    <s v="PV005"/>
    <x v="4"/>
    <x v="1"/>
    <x v="34"/>
    <x v="5"/>
    <s v="I10"/>
    <x v="2"/>
    <x v="34"/>
    <n v="439.82"/>
    <n v="64.94"/>
    <n v="374.88"/>
    <x v="1"/>
    <x v="0"/>
    <n v="0.37866909753874206"/>
  </r>
  <r>
    <s v="CLM00036"/>
    <x v="22"/>
    <n v="52"/>
    <x v="1"/>
    <x v="1"/>
    <s v="PV001"/>
    <x v="0"/>
    <x v="0"/>
    <x v="35"/>
    <x v="0"/>
    <s v="J45.909"/>
    <x v="6"/>
    <x v="35"/>
    <n v="3753.87"/>
    <n v="124.85"/>
    <n v="3629.02"/>
    <x v="1"/>
    <x v="1"/>
    <n v="0.31750443835946196"/>
  </r>
  <r>
    <s v="CLM00037"/>
    <x v="12"/>
    <n v="33"/>
    <x v="1"/>
    <x v="2"/>
    <s v="PV003"/>
    <x v="3"/>
    <x v="2"/>
    <x v="36"/>
    <x v="1"/>
    <s v="E11.9"/>
    <x v="0"/>
    <x v="36"/>
    <n v="2565.67"/>
    <n v="72.31"/>
    <n v="2493.36"/>
    <x v="1"/>
    <x v="1"/>
    <n v="0.34643592956262348"/>
  </r>
  <r>
    <s v="CLM00038"/>
    <x v="5"/>
    <n v="52"/>
    <x v="0"/>
    <x v="2"/>
    <s v="PV005"/>
    <x v="4"/>
    <x v="1"/>
    <x v="37"/>
    <x v="11"/>
    <s v="I10"/>
    <x v="2"/>
    <x v="37"/>
    <n v="2654.83"/>
    <n v="20.05"/>
    <n v="2634.78"/>
    <x v="1"/>
    <x v="1"/>
    <n v="0.29101300770129107"/>
  </r>
  <r>
    <s v="CLM00039"/>
    <x v="23"/>
    <n v="57"/>
    <x v="0"/>
    <x v="0"/>
    <s v="PV005"/>
    <x v="4"/>
    <x v="1"/>
    <x v="38"/>
    <x v="9"/>
    <s v="M54.5"/>
    <x v="1"/>
    <x v="38"/>
    <n v="8007.25"/>
    <n v="115.67"/>
    <n v="7891.58"/>
    <x v="1"/>
    <x v="0"/>
    <n v="0.17415464599362063"/>
  </r>
  <r>
    <s v="CLM00040"/>
    <x v="24"/>
    <n v="29"/>
    <x v="0"/>
    <x v="2"/>
    <s v="PV002"/>
    <x v="1"/>
    <x v="1"/>
    <x v="39"/>
    <x v="8"/>
    <s v="J45.909"/>
    <x v="6"/>
    <x v="39"/>
    <n v="1069.17"/>
    <n v="147.91"/>
    <n v="921.26"/>
    <x v="0"/>
    <x v="0"/>
    <n v="0.51413925132110505"/>
  </r>
  <r>
    <s v="CLM00041"/>
    <x v="24"/>
    <n v="52"/>
    <x v="1"/>
    <x v="0"/>
    <s v="PV004"/>
    <x v="2"/>
    <x v="1"/>
    <x v="40"/>
    <x v="4"/>
    <s v="F32.9"/>
    <x v="8"/>
    <x v="40"/>
    <n v="2271.2399999999998"/>
    <n v="20.72"/>
    <n v="2250.52"/>
    <x v="1"/>
    <x v="1"/>
    <n v="0.25999434437495472"/>
  </r>
  <r>
    <s v="CLM00042"/>
    <x v="21"/>
    <n v="58"/>
    <x v="0"/>
    <x v="2"/>
    <s v="PV005"/>
    <x v="4"/>
    <x v="1"/>
    <x v="41"/>
    <x v="8"/>
    <s v="J06.9"/>
    <x v="9"/>
    <x v="41"/>
    <n v="6463.4"/>
    <n v="37.33"/>
    <n v="0"/>
    <x v="2"/>
    <x v="1"/>
    <n v="1"/>
  </r>
  <r>
    <s v="CLM00043"/>
    <x v="25"/>
    <n v="42"/>
    <x v="0"/>
    <x v="1"/>
    <s v="PV004"/>
    <x v="2"/>
    <x v="1"/>
    <x v="8"/>
    <x v="6"/>
    <s v="Z23"/>
    <x v="5"/>
    <x v="42"/>
    <n v="6205.53"/>
    <n v="53.69"/>
    <n v="6151.84"/>
    <x v="1"/>
    <x v="1"/>
    <n v="0.31358844584884266"/>
  </r>
  <r>
    <s v="CLM00044"/>
    <x v="0"/>
    <n v="33"/>
    <x v="1"/>
    <x v="0"/>
    <s v="PV001"/>
    <x v="0"/>
    <x v="0"/>
    <x v="42"/>
    <x v="0"/>
    <s v="N39.0"/>
    <x v="7"/>
    <x v="43"/>
    <n v="2232.96"/>
    <n v="61.56"/>
    <n v="2171.4"/>
    <x v="0"/>
    <x v="0"/>
    <n v="0.38589544894057493"/>
  </r>
  <r>
    <s v="CLM00045"/>
    <x v="1"/>
    <n v="49"/>
    <x v="1"/>
    <x v="1"/>
    <s v="PV001"/>
    <x v="0"/>
    <x v="0"/>
    <x v="43"/>
    <x v="4"/>
    <s v="M54.5"/>
    <x v="1"/>
    <x v="44"/>
    <n v="3549.7"/>
    <n v="74.05"/>
    <n v="3475.65"/>
    <x v="1"/>
    <x v="1"/>
    <n v="0.30208532042850977"/>
  </r>
  <r>
    <s v="CLM00046"/>
    <x v="26"/>
    <n v="72"/>
    <x v="1"/>
    <x v="2"/>
    <s v="PV003"/>
    <x v="3"/>
    <x v="2"/>
    <x v="44"/>
    <x v="5"/>
    <s v="J06.9"/>
    <x v="9"/>
    <x v="45"/>
    <n v="7317.73"/>
    <n v="143.94999999999999"/>
    <n v="0"/>
    <x v="2"/>
    <x v="1"/>
    <n v="1"/>
  </r>
  <r>
    <s v="CLM00047"/>
    <x v="17"/>
    <n v="33"/>
    <x v="1"/>
    <x v="2"/>
    <s v="PV004"/>
    <x v="2"/>
    <x v="1"/>
    <x v="45"/>
    <x v="3"/>
    <s v="F32.9"/>
    <x v="8"/>
    <x v="46"/>
    <n v="3571.62"/>
    <n v="123.76"/>
    <n v="3447.86"/>
    <x v="1"/>
    <x v="0"/>
    <n v="0.2753490991937721"/>
  </r>
  <r>
    <s v="CLM00048"/>
    <x v="5"/>
    <n v="54"/>
    <x v="0"/>
    <x v="2"/>
    <s v="PV004"/>
    <x v="2"/>
    <x v="1"/>
    <x v="46"/>
    <x v="6"/>
    <s v="E11.9"/>
    <x v="0"/>
    <x v="47"/>
    <n v="6300.41"/>
    <n v="53.82"/>
    <n v="6246.59"/>
    <x v="1"/>
    <x v="1"/>
    <n v="0.40064516190934918"/>
  </r>
  <r>
    <s v="CLM00049"/>
    <x v="27"/>
    <n v="39"/>
    <x v="1"/>
    <x v="1"/>
    <s v="PV004"/>
    <x v="2"/>
    <x v="1"/>
    <x v="47"/>
    <x v="5"/>
    <s v="J45.909"/>
    <x v="6"/>
    <x v="48"/>
    <n v="6941.11"/>
    <n v="117.37"/>
    <n v="6823.74"/>
    <x v="1"/>
    <x v="0"/>
    <n v="0.32059432340106081"/>
  </r>
  <r>
    <s v="CLM00050"/>
    <x v="28"/>
    <n v="38"/>
    <x v="0"/>
    <x v="1"/>
    <s v="PV002"/>
    <x v="1"/>
    <x v="1"/>
    <x v="48"/>
    <x v="3"/>
    <s v="M54.5"/>
    <x v="1"/>
    <x v="49"/>
    <n v="4669.7"/>
    <n v="81.56"/>
    <n v="4588.1400000000003"/>
    <x v="1"/>
    <x v="1"/>
    <n v="0.38929271659281517"/>
  </r>
  <r>
    <s v="CLM00051"/>
    <x v="29"/>
    <n v="31"/>
    <x v="1"/>
    <x v="2"/>
    <s v="PV005"/>
    <x v="4"/>
    <x v="1"/>
    <x v="49"/>
    <x v="11"/>
    <s v="I10"/>
    <x v="2"/>
    <x v="50"/>
    <n v="8857.1200000000008"/>
    <n v="121.11"/>
    <n v="8736.01"/>
    <x v="1"/>
    <x v="1"/>
    <n v="0.24495992311322304"/>
  </r>
  <r>
    <s v="CLM00052"/>
    <x v="4"/>
    <n v="63"/>
    <x v="1"/>
    <x v="1"/>
    <s v="PV002"/>
    <x v="1"/>
    <x v="1"/>
    <x v="50"/>
    <x v="7"/>
    <s v="F32.9"/>
    <x v="8"/>
    <x v="51"/>
    <n v="5727.15"/>
    <n v="51.57"/>
    <n v="5675.58"/>
    <x v="1"/>
    <x v="0"/>
    <n v="0.20802471547619711"/>
  </r>
  <r>
    <s v="CLM00053"/>
    <x v="1"/>
    <n v="56"/>
    <x v="1"/>
    <x v="2"/>
    <s v="PV005"/>
    <x v="4"/>
    <x v="1"/>
    <x v="51"/>
    <x v="4"/>
    <s v="K21.0"/>
    <x v="4"/>
    <x v="52"/>
    <n v="4559.24"/>
    <n v="104.18"/>
    <n v="4455.0600000000004"/>
    <x v="1"/>
    <x v="1"/>
    <n v="0.44235282631308176"/>
  </r>
  <r>
    <s v="CLM00054"/>
    <x v="24"/>
    <n v="55"/>
    <x v="0"/>
    <x v="2"/>
    <s v="PV004"/>
    <x v="2"/>
    <x v="1"/>
    <x v="52"/>
    <x v="6"/>
    <s v="I10"/>
    <x v="2"/>
    <x v="53"/>
    <n v="7427.03"/>
    <n v="55.11"/>
    <n v="7371.92"/>
    <x v="0"/>
    <x v="1"/>
    <n v="0.16658809537537286"/>
  </r>
  <r>
    <s v="CLM00055"/>
    <x v="16"/>
    <n v="67"/>
    <x v="0"/>
    <x v="2"/>
    <s v="PV002"/>
    <x v="1"/>
    <x v="1"/>
    <x v="53"/>
    <x v="7"/>
    <s v="K21.0"/>
    <x v="4"/>
    <x v="54"/>
    <n v="2367.71"/>
    <n v="117.56"/>
    <n v="2250.15"/>
    <x v="0"/>
    <x v="1"/>
    <n v="0.34878302896998814"/>
  </r>
  <r>
    <s v="CLM00056"/>
    <x v="30"/>
    <n v="42"/>
    <x v="1"/>
    <x v="1"/>
    <s v="PV002"/>
    <x v="1"/>
    <x v="1"/>
    <x v="32"/>
    <x v="9"/>
    <s v="K21.0"/>
    <x v="4"/>
    <x v="55"/>
    <n v="2102.5300000000002"/>
    <n v="64.239999999999995"/>
    <n v="2038.29"/>
    <x v="0"/>
    <x v="0"/>
    <n v="0.23476697126466986"/>
  </r>
  <r>
    <s v="CLM00057"/>
    <x v="31"/>
    <n v="75"/>
    <x v="1"/>
    <x v="0"/>
    <s v="PV004"/>
    <x v="2"/>
    <x v="1"/>
    <x v="54"/>
    <x v="9"/>
    <s v="M54.5"/>
    <x v="1"/>
    <x v="56"/>
    <n v="4185.99"/>
    <n v="81.89"/>
    <n v="0"/>
    <x v="2"/>
    <x v="0"/>
    <n v="1"/>
  </r>
  <r>
    <s v="CLM00058"/>
    <x v="6"/>
    <n v="72"/>
    <x v="0"/>
    <x v="2"/>
    <s v="PV002"/>
    <x v="1"/>
    <x v="1"/>
    <x v="55"/>
    <x v="5"/>
    <s v="F32.9"/>
    <x v="8"/>
    <x v="57"/>
    <n v="5297.5"/>
    <n v="91.95"/>
    <n v="5205.55"/>
    <x v="1"/>
    <x v="1"/>
    <n v="0.3507613561106171"/>
  </r>
  <r>
    <s v="CLM00059"/>
    <x v="7"/>
    <n v="69"/>
    <x v="1"/>
    <x v="0"/>
    <s v="PV003"/>
    <x v="3"/>
    <x v="2"/>
    <x v="56"/>
    <x v="5"/>
    <s v="J45.909"/>
    <x v="6"/>
    <x v="58"/>
    <n v="2208.63"/>
    <n v="61.02"/>
    <n v="2147.61"/>
    <x v="0"/>
    <x v="1"/>
    <n v="0.2547885408136355"/>
  </r>
  <r>
    <s v="CLM00060"/>
    <x v="2"/>
    <n v="48"/>
    <x v="1"/>
    <x v="2"/>
    <s v="PV005"/>
    <x v="4"/>
    <x v="1"/>
    <x v="57"/>
    <x v="1"/>
    <s v="J45.909"/>
    <x v="6"/>
    <x v="59"/>
    <n v="6096.45"/>
    <n v="128.24"/>
    <n v="5968.21"/>
    <x v="1"/>
    <x v="0"/>
    <n v="0.17360360123345847"/>
  </r>
  <r>
    <s v="CLM00061"/>
    <x v="11"/>
    <n v="25"/>
    <x v="0"/>
    <x v="2"/>
    <s v="PV001"/>
    <x v="0"/>
    <x v="0"/>
    <x v="58"/>
    <x v="3"/>
    <s v="J45.909"/>
    <x v="6"/>
    <x v="60"/>
    <n v="5092.3500000000004"/>
    <n v="36.42"/>
    <n v="0"/>
    <x v="2"/>
    <x v="1"/>
    <n v="1"/>
  </r>
  <r>
    <s v="CLM00062"/>
    <x v="32"/>
    <n v="56"/>
    <x v="1"/>
    <x v="1"/>
    <s v="PV002"/>
    <x v="1"/>
    <x v="1"/>
    <x v="59"/>
    <x v="3"/>
    <s v="K21.0"/>
    <x v="4"/>
    <x v="61"/>
    <n v="2540.25"/>
    <n v="34.83"/>
    <n v="2505.42"/>
    <x v="1"/>
    <x v="0"/>
    <n v="0.20257044371664004"/>
  </r>
  <r>
    <s v="CLM00063"/>
    <x v="7"/>
    <n v="51"/>
    <x v="1"/>
    <x v="1"/>
    <s v="PV002"/>
    <x v="1"/>
    <x v="1"/>
    <x v="60"/>
    <x v="11"/>
    <s v="I10"/>
    <x v="2"/>
    <x v="62"/>
    <n v="6559.67"/>
    <n v="52.26"/>
    <n v="6507.41"/>
    <x v="0"/>
    <x v="1"/>
    <n v="0.42903131838338388"/>
  </r>
  <r>
    <s v="CLM00064"/>
    <x v="20"/>
    <n v="31"/>
    <x v="1"/>
    <x v="1"/>
    <s v="PV003"/>
    <x v="3"/>
    <x v="2"/>
    <x v="61"/>
    <x v="11"/>
    <s v="N39.0"/>
    <x v="7"/>
    <x v="63"/>
    <n v="7623.58"/>
    <n v="100.73"/>
    <n v="7522.85"/>
    <x v="0"/>
    <x v="1"/>
    <n v="0.36686312844695323"/>
  </r>
  <r>
    <s v="CLM00065"/>
    <x v="30"/>
    <n v="63"/>
    <x v="0"/>
    <x v="2"/>
    <s v="PV002"/>
    <x v="1"/>
    <x v="1"/>
    <x v="62"/>
    <x v="8"/>
    <s v="E11.9"/>
    <x v="0"/>
    <x v="64"/>
    <n v="1265.0899999999999"/>
    <n v="20.350000000000001"/>
    <n v="0"/>
    <x v="2"/>
    <x v="0"/>
    <n v="1"/>
  </r>
  <r>
    <s v="CLM00066"/>
    <x v="25"/>
    <n v="62"/>
    <x v="1"/>
    <x v="2"/>
    <s v="PV003"/>
    <x v="3"/>
    <x v="2"/>
    <x v="63"/>
    <x v="0"/>
    <s v="J45.909"/>
    <x v="6"/>
    <x v="65"/>
    <n v="5905.71"/>
    <n v="50.35"/>
    <n v="5855.36"/>
    <x v="1"/>
    <x v="0"/>
    <n v="0.43351708631875502"/>
  </r>
  <r>
    <s v="CLM00067"/>
    <x v="23"/>
    <n v="53"/>
    <x v="1"/>
    <x v="2"/>
    <s v="PV003"/>
    <x v="3"/>
    <x v="2"/>
    <x v="64"/>
    <x v="6"/>
    <s v="I10"/>
    <x v="2"/>
    <x v="66"/>
    <n v="597.5"/>
    <n v="59.99"/>
    <n v="537.51"/>
    <x v="0"/>
    <x v="1"/>
    <n v="0.46044508687927249"/>
  </r>
  <r>
    <s v="CLM00068"/>
    <x v="20"/>
    <n v="45"/>
    <x v="0"/>
    <x v="0"/>
    <s v="PV003"/>
    <x v="3"/>
    <x v="2"/>
    <x v="65"/>
    <x v="1"/>
    <s v="F32.9"/>
    <x v="8"/>
    <x v="67"/>
    <n v="4461.8599999999997"/>
    <n v="97.74"/>
    <n v="0"/>
    <x v="2"/>
    <x v="0"/>
    <n v="1"/>
  </r>
  <r>
    <s v="CLM00069"/>
    <x v="7"/>
    <n v="73"/>
    <x v="1"/>
    <x v="2"/>
    <s v="PV005"/>
    <x v="4"/>
    <x v="1"/>
    <x v="66"/>
    <x v="3"/>
    <s v="S52.501A"/>
    <x v="3"/>
    <x v="68"/>
    <n v="9016.4"/>
    <n v="55.04"/>
    <n v="8961.36"/>
    <x v="1"/>
    <x v="1"/>
    <n v="0.25290435208875744"/>
  </r>
  <r>
    <s v="CLM00070"/>
    <x v="27"/>
    <n v="51"/>
    <x v="0"/>
    <x v="2"/>
    <s v="PV002"/>
    <x v="1"/>
    <x v="1"/>
    <x v="67"/>
    <x v="11"/>
    <s v="J45.909"/>
    <x v="6"/>
    <x v="69"/>
    <n v="4221.75"/>
    <n v="145.97999999999999"/>
    <n v="0"/>
    <x v="2"/>
    <x v="0"/>
    <n v="1"/>
  </r>
  <r>
    <s v="CLM00071"/>
    <x v="33"/>
    <n v="54"/>
    <x v="1"/>
    <x v="2"/>
    <s v="PV003"/>
    <x v="3"/>
    <x v="2"/>
    <x v="68"/>
    <x v="4"/>
    <s v="I10"/>
    <x v="2"/>
    <x v="70"/>
    <n v="5327.23"/>
    <n v="142.88"/>
    <n v="5184.3500000000004"/>
    <x v="0"/>
    <x v="1"/>
    <n v="0.38060556533250178"/>
  </r>
  <r>
    <s v="CLM00072"/>
    <x v="1"/>
    <n v="28"/>
    <x v="1"/>
    <x v="1"/>
    <s v="PV004"/>
    <x v="2"/>
    <x v="1"/>
    <x v="69"/>
    <x v="1"/>
    <s v="E11.9"/>
    <x v="0"/>
    <x v="71"/>
    <n v="5462.39"/>
    <n v="133.02000000000001"/>
    <n v="0"/>
    <x v="2"/>
    <x v="1"/>
    <n v="1"/>
  </r>
  <r>
    <s v="CLM00073"/>
    <x v="34"/>
    <n v="26"/>
    <x v="1"/>
    <x v="1"/>
    <s v="PV001"/>
    <x v="0"/>
    <x v="0"/>
    <x v="70"/>
    <x v="8"/>
    <s v="N39.0"/>
    <x v="7"/>
    <x v="72"/>
    <n v="1953.32"/>
    <n v="57.44"/>
    <n v="0"/>
    <x v="2"/>
    <x v="1"/>
    <n v="1"/>
  </r>
  <r>
    <s v="CLM00074"/>
    <x v="17"/>
    <n v="32"/>
    <x v="1"/>
    <x v="2"/>
    <s v="PV001"/>
    <x v="0"/>
    <x v="0"/>
    <x v="71"/>
    <x v="1"/>
    <s v="Z23"/>
    <x v="5"/>
    <x v="73"/>
    <n v="3077.6"/>
    <n v="129.38"/>
    <n v="2948.22"/>
    <x v="1"/>
    <x v="1"/>
    <n v="0.40854496468185586"/>
  </r>
  <r>
    <s v="CLM00075"/>
    <x v="14"/>
    <n v="49"/>
    <x v="1"/>
    <x v="1"/>
    <s v="PV003"/>
    <x v="3"/>
    <x v="2"/>
    <x v="72"/>
    <x v="4"/>
    <s v="Z23"/>
    <x v="5"/>
    <x v="74"/>
    <n v="8475.75"/>
    <n v="51.69"/>
    <n v="8424.06"/>
    <x v="0"/>
    <x v="0"/>
    <n v="0.16107386560546852"/>
  </r>
  <r>
    <s v="CLM00076"/>
    <x v="23"/>
    <n v="71"/>
    <x v="0"/>
    <x v="1"/>
    <s v="PV003"/>
    <x v="3"/>
    <x v="2"/>
    <x v="73"/>
    <x v="4"/>
    <s v="E11.9"/>
    <x v="0"/>
    <x v="75"/>
    <n v="3284.85"/>
    <n v="54.73"/>
    <n v="3230.12"/>
    <x v="1"/>
    <x v="1"/>
    <n v="0.22678526972940893"/>
  </r>
  <r>
    <s v="CLM00077"/>
    <x v="17"/>
    <n v="45"/>
    <x v="1"/>
    <x v="1"/>
    <s v="PV004"/>
    <x v="2"/>
    <x v="1"/>
    <x v="15"/>
    <x v="1"/>
    <s v="I10"/>
    <x v="2"/>
    <x v="76"/>
    <n v="3826.56"/>
    <n v="119.17"/>
    <n v="0"/>
    <x v="2"/>
    <x v="1"/>
    <n v="1"/>
  </r>
  <r>
    <s v="CLM00078"/>
    <x v="35"/>
    <n v="67"/>
    <x v="1"/>
    <x v="2"/>
    <s v="PV004"/>
    <x v="2"/>
    <x v="1"/>
    <x v="74"/>
    <x v="3"/>
    <s v="M54.5"/>
    <x v="1"/>
    <x v="77"/>
    <n v="2712.49"/>
    <n v="138.75"/>
    <n v="0"/>
    <x v="2"/>
    <x v="0"/>
    <n v="1"/>
  </r>
  <r>
    <s v="CLM00079"/>
    <x v="17"/>
    <n v="25"/>
    <x v="1"/>
    <x v="2"/>
    <s v="PV005"/>
    <x v="4"/>
    <x v="1"/>
    <x v="2"/>
    <x v="2"/>
    <s v="Z23"/>
    <x v="5"/>
    <x v="78"/>
    <n v="8492.92"/>
    <n v="77.239999999999995"/>
    <n v="8415.68"/>
    <x v="0"/>
    <x v="0"/>
    <n v="0.19513004557213837"/>
  </r>
  <r>
    <s v="CLM00080"/>
    <x v="4"/>
    <n v="59"/>
    <x v="0"/>
    <x v="2"/>
    <s v="PV004"/>
    <x v="2"/>
    <x v="1"/>
    <x v="7"/>
    <x v="5"/>
    <s v="E11.9"/>
    <x v="0"/>
    <x v="79"/>
    <n v="3153.97"/>
    <n v="104.48"/>
    <n v="3049.49"/>
    <x v="1"/>
    <x v="1"/>
    <n v="0.26729297564843407"/>
  </r>
  <r>
    <s v="CLM00081"/>
    <x v="20"/>
    <n v="30"/>
    <x v="0"/>
    <x v="0"/>
    <s v="PV001"/>
    <x v="0"/>
    <x v="0"/>
    <x v="75"/>
    <x v="11"/>
    <s v="Z23"/>
    <x v="5"/>
    <x v="80"/>
    <n v="710.36"/>
    <n v="139.72"/>
    <n v="570.64"/>
    <x v="1"/>
    <x v="0"/>
    <n v="0.40607208651214105"/>
  </r>
  <r>
    <s v="CLM00082"/>
    <x v="23"/>
    <n v="47"/>
    <x v="0"/>
    <x v="2"/>
    <s v="PV002"/>
    <x v="1"/>
    <x v="1"/>
    <x v="76"/>
    <x v="0"/>
    <s v="N39.0"/>
    <x v="7"/>
    <x v="81"/>
    <n v="2066.39"/>
    <n v="62.17"/>
    <n v="2004.22"/>
    <x v="1"/>
    <x v="0"/>
    <n v="0.45812413651393608"/>
  </r>
  <r>
    <s v="CLM00083"/>
    <x v="35"/>
    <n v="64"/>
    <x v="1"/>
    <x v="2"/>
    <s v="PV004"/>
    <x v="2"/>
    <x v="1"/>
    <x v="49"/>
    <x v="11"/>
    <s v="Z23"/>
    <x v="5"/>
    <x v="82"/>
    <n v="4970.66"/>
    <n v="42.76"/>
    <n v="4927.8999999999996"/>
    <x v="0"/>
    <x v="0"/>
    <n v="0.40117846774889332"/>
  </r>
  <r>
    <s v="CLM00084"/>
    <x v="23"/>
    <n v="68"/>
    <x v="1"/>
    <x v="0"/>
    <s v="PV004"/>
    <x v="2"/>
    <x v="1"/>
    <x v="24"/>
    <x v="10"/>
    <s v="M54.5"/>
    <x v="1"/>
    <x v="83"/>
    <n v="1979.82"/>
    <n v="21.22"/>
    <n v="0"/>
    <x v="2"/>
    <x v="1"/>
    <n v="1"/>
  </r>
  <r>
    <s v="CLM00085"/>
    <x v="36"/>
    <n v="49"/>
    <x v="0"/>
    <x v="0"/>
    <s v="PV003"/>
    <x v="3"/>
    <x v="2"/>
    <x v="77"/>
    <x v="10"/>
    <s v="S52.501A"/>
    <x v="3"/>
    <x v="84"/>
    <n v="8744.4699999999993"/>
    <n v="79.39"/>
    <n v="8665.08"/>
    <x v="1"/>
    <x v="1"/>
    <n v="0.24977922154382157"/>
  </r>
  <r>
    <s v="CLM00086"/>
    <x v="37"/>
    <n v="25"/>
    <x v="1"/>
    <x v="1"/>
    <s v="PV003"/>
    <x v="3"/>
    <x v="2"/>
    <x v="78"/>
    <x v="11"/>
    <s v="S52.501A"/>
    <x v="3"/>
    <x v="85"/>
    <n v="2777.84"/>
    <n v="22.85"/>
    <n v="0"/>
    <x v="2"/>
    <x v="1"/>
    <n v="1"/>
  </r>
  <r>
    <s v="CLM00087"/>
    <x v="4"/>
    <n v="73"/>
    <x v="1"/>
    <x v="1"/>
    <s v="PV002"/>
    <x v="1"/>
    <x v="1"/>
    <x v="79"/>
    <x v="11"/>
    <s v="J45.909"/>
    <x v="6"/>
    <x v="86"/>
    <n v="5943.3"/>
    <n v="44.72"/>
    <n v="5898.58"/>
    <x v="1"/>
    <x v="0"/>
    <n v="0.38893119055536735"/>
  </r>
  <r>
    <s v="CLM00088"/>
    <x v="38"/>
    <n v="72"/>
    <x v="0"/>
    <x v="0"/>
    <s v="PV004"/>
    <x v="2"/>
    <x v="1"/>
    <x v="80"/>
    <x v="3"/>
    <s v="J45.909"/>
    <x v="6"/>
    <x v="87"/>
    <n v="5401.77"/>
    <n v="31.72"/>
    <n v="5370.05"/>
    <x v="1"/>
    <x v="0"/>
    <n v="0.2348121602462257"/>
  </r>
  <r>
    <s v="CLM00089"/>
    <x v="23"/>
    <n v="72"/>
    <x v="0"/>
    <x v="0"/>
    <s v="PV003"/>
    <x v="3"/>
    <x v="2"/>
    <x v="81"/>
    <x v="1"/>
    <s v="Z23"/>
    <x v="5"/>
    <x v="88"/>
    <n v="3851.37"/>
    <n v="41.39"/>
    <n v="0"/>
    <x v="2"/>
    <x v="0"/>
    <n v="1"/>
  </r>
  <r>
    <s v="CLM00090"/>
    <x v="22"/>
    <n v="30"/>
    <x v="0"/>
    <x v="0"/>
    <s v="PV002"/>
    <x v="1"/>
    <x v="1"/>
    <x v="82"/>
    <x v="10"/>
    <s v="I10"/>
    <x v="2"/>
    <x v="89"/>
    <n v="7369.63"/>
    <n v="145.75"/>
    <n v="7223.88"/>
    <x v="0"/>
    <x v="0"/>
    <n v="0.17270902213360781"/>
  </r>
  <r>
    <s v="CLM00091"/>
    <x v="11"/>
    <n v="68"/>
    <x v="1"/>
    <x v="2"/>
    <s v="PV003"/>
    <x v="3"/>
    <x v="2"/>
    <x v="83"/>
    <x v="10"/>
    <s v="N39.0"/>
    <x v="7"/>
    <x v="90"/>
    <n v="5674.05"/>
    <n v="69.53"/>
    <n v="5604.52"/>
    <x v="1"/>
    <x v="1"/>
    <n v="0.37905490821302068"/>
  </r>
  <r>
    <s v="CLM00092"/>
    <x v="39"/>
    <n v="51"/>
    <x v="1"/>
    <x v="0"/>
    <s v="PV002"/>
    <x v="1"/>
    <x v="1"/>
    <x v="84"/>
    <x v="10"/>
    <s v="S52.501A"/>
    <x v="3"/>
    <x v="91"/>
    <n v="716.74"/>
    <n v="138.22"/>
    <n v="578.52"/>
    <x v="1"/>
    <x v="0"/>
    <n v="0.35657086929442122"/>
  </r>
  <r>
    <s v="CLM00093"/>
    <x v="22"/>
    <n v="67"/>
    <x v="0"/>
    <x v="1"/>
    <s v="PV004"/>
    <x v="2"/>
    <x v="1"/>
    <x v="85"/>
    <x v="7"/>
    <s v="J45.909"/>
    <x v="6"/>
    <x v="92"/>
    <n v="1062.44"/>
    <n v="37.64"/>
    <n v="0"/>
    <x v="2"/>
    <x v="0"/>
    <n v="1"/>
  </r>
  <r>
    <s v="CLM00094"/>
    <x v="5"/>
    <n v="53"/>
    <x v="0"/>
    <x v="0"/>
    <s v="PV001"/>
    <x v="0"/>
    <x v="0"/>
    <x v="86"/>
    <x v="9"/>
    <s v="F32.9"/>
    <x v="8"/>
    <x v="93"/>
    <n v="6192.52"/>
    <n v="56.37"/>
    <n v="6136.15"/>
    <x v="1"/>
    <x v="1"/>
    <n v="0.17585568694026443"/>
  </r>
  <r>
    <s v="CLM00095"/>
    <x v="36"/>
    <n v="32"/>
    <x v="0"/>
    <x v="0"/>
    <s v="PV003"/>
    <x v="3"/>
    <x v="2"/>
    <x v="36"/>
    <x v="1"/>
    <s v="E11.9"/>
    <x v="0"/>
    <x v="94"/>
    <n v="8055.33"/>
    <n v="27.87"/>
    <n v="8027.46"/>
    <x v="1"/>
    <x v="0"/>
    <n v="0.25912451200265807"/>
  </r>
  <r>
    <s v="CLM00096"/>
    <x v="5"/>
    <n v="29"/>
    <x v="1"/>
    <x v="1"/>
    <s v="PV001"/>
    <x v="0"/>
    <x v="0"/>
    <x v="80"/>
    <x v="3"/>
    <s v="S52.501A"/>
    <x v="3"/>
    <x v="95"/>
    <n v="5902.67"/>
    <n v="36.369999999999997"/>
    <n v="5866.3"/>
    <x v="0"/>
    <x v="0"/>
    <n v="0.38076871110210353"/>
  </r>
  <r>
    <s v="CLM00097"/>
    <x v="26"/>
    <n v="41"/>
    <x v="1"/>
    <x v="0"/>
    <s v="PV002"/>
    <x v="1"/>
    <x v="1"/>
    <x v="67"/>
    <x v="11"/>
    <s v="K21.0"/>
    <x v="4"/>
    <x v="96"/>
    <n v="148.26"/>
    <n v="38.81"/>
    <n v="109.45"/>
    <x v="1"/>
    <x v="0"/>
    <n v="0.40386710239651413"/>
  </r>
  <r>
    <s v="CLM00098"/>
    <x v="40"/>
    <n v="28"/>
    <x v="1"/>
    <x v="1"/>
    <s v="PV001"/>
    <x v="0"/>
    <x v="0"/>
    <x v="87"/>
    <x v="2"/>
    <s v="I10"/>
    <x v="2"/>
    <x v="97"/>
    <n v="5910.14"/>
    <n v="62.09"/>
    <n v="5848.05"/>
    <x v="1"/>
    <x v="0"/>
    <n v="0.38514843365589629"/>
  </r>
  <r>
    <s v="CLM00099"/>
    <x v="2"/>
    <n v="64"/>
    <x v="1"/>
    <x v="1"/>
    <s v="PV004"/>
    <x v="2"/>
    <x v="1"/>
    <x v="88"/>
    <x v="9"/>
    <s v="E11.9"/>
    <x v="0"/>
    <x v="98"/>
    <n v="6595.86"/>
    <n v="34.18"/>
    <n v="6561.68"/>
    <x v="0"/>
    <x v="1"/>
    <n v="0.29967661027802972"/>
  </r>
  <r>
    <s v="CLM00100"/>
    <x v="41"/>
    <n v="70"/>
    <x v="0"/>
    <x v="0"/>
    <s v="PV001"/>
    <x v="0"/>
    <x v="0"/>
    <x v="22"/>
    <x v="3"/>
    <s v="N39.0"/>
    <x v="7"/>
    <x v="99"/>
    <n v="9636.7999999999993"/>
    <n v="75.42"/>
    <n v="9561.3799999999992"/>
    <x v="1"/>
    <x v="1"/>
    <n v="0.20210460434356295"/>
  </r>
  <r>
    <s v="CLM00101"/>
    <x v="35"/>
    <n v="63"/>
    <x v="0"/>
    <x v="2"/>
    <s v="PV002"/>
    <x v="1"/>
    <x v="1"/>
    <x v="89"/>
    <x v="7"/>
    <s v="S52.501A"/>
    <x v="3"/>
    <x v="100"/>
    <n v="1213.1199999999999"/>
    <n v="96.1"/>
    <n v="1117.02"/>
    <x v="1"/>
    <x v="1"/>
    <n v="0.32111318426858393"/>
  </r>
  <r>
    <s v="CLM00102"/>
    <x v="6"/>
    <n v="53"/>
    <x v="1"/>
    <x v="2"/>
    <s v="PV001"/>
    <x v="0"/>
    <x v="0"/>
    <x v="90"/>
    <x v="10"/>
    <s v="E11.9"/>
    <x v="0"/>
    <x v="101"/>
    <n v="6138.84"/>
    <n v="113.71"/>
    <n v="6025.13"/>
    <x v="1"/>
    <x v="1"/>
    <n v="0.23377156838806815"/>
  </r>
  <r>
    <s v="CLM00103"/>
    <x v="14"/>
    <n v="68"/>
    <x v="0"/>
    <x v="0"/>
    <s v="PV004"/>
    <x v="2"/>
    <x v="1"/>
    <x v="91"/>
    <x v="0"/>
    <s v="F32.9"/>
    <x v="8"/>
    <x v="102"/>
    <n v="865.69"/>
    <n v="106.46"/>
    <n v="759.23"/>
    <x v="1"/>
    <x v="0"/>
    <n v="0.40535100292143456"/>
  </r>
  <r>
    <s v="CLM00104"/>
    <x v="9"/>
    <n v="60"/>
    <x v="0"/>
    <x v="1"/>
    <s v="PV004"/>
    <x v="2"/>
    <x v="1"/>
    <x v="33"/>
    <x v="7"/>
    <s v="E11.9"/>
    <x v="0"/>
    <x v="103"/>
    <n v="5938.53"/>
    <n v="36.92"/>
    <n v="5901.61"/>
    <x v="1"/>
    <x v="1"/>
    <n v="0.34232028510995854"/>
  </r>
  <r>
    <s v="CLM00105"/>
    <x v="28"/>
    <n v="57"/>
    <x v="1"/>
    <x v="0"/>
    <s v="PV004"/>
    <x v="2"/>
    <x v="1"/>
    <x v="92"/>
    <x v="0"/>
    <s v="K21.0"/>
    <x v="4"/>
    <x v="104"/>
    <n v="483.35"/>
    <n v="60.62"/>
    <n v="422.73"/>
    <x v="1"/>
    <x v="1"/>
    <n v="0.44351271654994467"/>
  </r>
  <r>
    <s v="CLM00106"/>
    <x v="2"/>
    <n v="52"/>
    <x v="1"/>
    <x v="1"/>
    <s v="PV001"/>
    <x v="0"/>
    <x v="0"/>
    <x v="93"/>
    <x v="2"/>
    <s v="M54.5"/>
    <x v="1"/>
    <x v="105"/>
    <n v="6713.4"/>
    <n v="119.14"/>
    <n v="6594.26"/>
    <x v="0"/>
    <x v="1"/>
    <n v="0.35144890476490209"/>
  </r>
  <r>
    <s v="CLM00107"/>
    <x v="42"/>
    <n v="34"/>
    <x v="0"/>
    <x v="0"/>
    <s v="PV002"/>
    <x v="1"/>
    <x v="1"/>
    <x v="94"/>
    <x v="5"/>
    <s v="J06.9"/>
    <x v="9"/>
    <x v="106"/>
    <n v="5448.12"/>
    <n v="64.180000000000007"/>
    <n v="5383.94"/>
    <x v="1"/>
    <x v="0"/>
    <n v="0.36487522679067314"/>
  </r>
  <r>
    <s v="CLM00108"/>
    <x v="43"/>
    <n v="45"/>
    <x v="1"/>
    <x v="0"/>
    <s v="PV005"/>
    <x v="4"/>
    <x v="1"/>
    <x v="95"/>
    <x v="8"/>
    <s v="E11.9"/>
    <x v="0"/>
    <x v="107"/>
    <n v="3161.45"/>
    <n v="40.46"/>
    <n v="3120.99"/>
    <x v="1"/>
    <x v="0"/>
    <n v="0.32268712428655133"/>
  </r>
  <r>
    <s v="CLM00109"/>
    <x v="31"/>
    <n v="51"/>
    <x v="0"/>
    <x v="0"/>
    <s v="PV001"/>
    <x v="0"/>
    <x v="0"/>
    <x v="96"/>
    <x v="10"/>
    <s v="S52.501A"/>
    <x v="3"/>
    <x v="108"/>
    <n v="762.66"/>
    <n v="75.12"/>
    <n v="687.54"/>
    <x v="0"/>
    <x v="0"/>
    <n v="0.38433296917814358"/>
  </r>
  <r>
    <s v="CLM00110"/>
    <x v="33"/>
    <n v="39"/>
    <x v="0"/>
    <x v="1"/>
    <s v="PV004"/>
    <x v="2"/>
    <x v="1"/>
    <x v="97"/>
    <x v="7"/>
    <s v="K21.0"/>
    <x v="4"/>
    <x v="109"/>
    <n v="2642.29"/>
    <n v="83.26"/>
    <n v="2559.0300000000002"/>
    <x v="1"/>
    <x v="0"/>
    <n v="0.27019766317692712"/>
  </r>
  <r>
    <s v="CLM00111"/>
    <x v="44"/>
    <n v="56"/>
    <x v="0"/>
    <x v="0"/>
    <s v="PV003"/>
    <x v="3"/>
    <x v="2"/>
    <x v="95"/>
    <x v="8"/>
    <s v="M54.5"/>
    <x v="1"/>
    <x v="110"/>
    <n v="7202.66"/>
    <n v="57.63"/>
    <n v="7145.03"/>
    <x v="1"/>
    <x v="1"/>
    <n v="0.22698686261845338"/>
  </r>
  <r>
    <s v="CLM00112"/>
    <x v="20"/>
    <n v="27"/>
    <x v="0"/>
    <x v="0"/>
    <s v="PV002"/>
    <x v="1"/>
    <x v="1"/>
    <x v="81"/>
    <x v="1"/>
    <s v="Z23"/>
    <x v="5"/>
    <x v="111"/>
    <n v="5080.96"/>
    <n v="66.040000000000006"/>
    <n v="0"/>
    <x v="2"/>
    <x v="0"/>
    <n v="1"/>
  </r>
  <r>
    <s v="CLM00113"/>
    <x v="32"/>
    <n v="26"/>
    <x v="0"/>
    <x v="0"/>
    <s v="PV005"/>
    <x v="4"/>
    <x v="1"/>
    <x v="40"/>
    <x v="4"/>
    <s v="K21.0"/>
    <x v="4"/>
    <x v="112"/>
    <n v="5297.83"/>
    <n v="74.3"/>
    <n v="5223.53"/>
    <x v="1"/>
    <x v="1"/>
    <n v="0.2478491070284343"/>
  </r>
  <r>
    <s v="CLM00114"/>
    <x v="0"/>
    <n v="50"/>
    <x v="0"/>
    <x v="1"/>
    <s v="PV001"/>
    <x v="0"/>
    <x v="0"/>
    <x v="98"/>
    <x v="4"/>
    <s v="K21.0"/>
    <x v="4"/>
    <x v="113"/>
    <n v="6327.85"/>
    <n v="96.55"/>
    <n v="6231.3"/>
    <x v="0"/>
    <x v="0"/>
    <n v="0.38651037595228571"/>
  </r>
  <r>
    <s v="CLM00115"/>
    <x v="27"/>
    <n v="71"/>
    <x v="1"/>
    <x v="0"/>
    <s v="PV002"/>
    <x v="1"/>
    <x v="1"/>
    <x v="33"/>
    <x v="7"/>
    <s v="K21.0"/>
    <x v="4"/>
    <x v="114"/>
    <n v="3621.64"/>
    <n v="86.29"/>
    <n v="3535.35"/>
    <x v="1"/>
    <x v="0"/>
    <n v="0.42971143190363964"/>
  </r>
  <r>
    <s v="CLM00116"/>
    <x v="24"/>
    <n v="65"/>
    <x v="0"/>
    <x v="2"/>
    <s v="PV002"/>
    <x v="1"/>
    <x v="1"/>
    <x v="46"/>
    <x v="6"/>
    <s v="J45.909"/>
    <x v="6"/>
    <x v="115"/>
    <n v="5670.87"/>
    <n v="105.22"/>
    <n v="5565.65"/>
    <x v="1"/>
    <x v="1"/>
    <n v="0.23637189353537053"/>
  </r>
  <r>
    <s v="CLM00117"/>
    <x v="45"/>
    <n v="53"/>
    <x v="0"/>
    <x v="2"/>
    <s v="PV005"/>
    <x v="4"/>
    <x v="1"/>
    <x v="99"/>
    <x v="2"/>
    <s v="S52.501A"/>
    <x v="3"/>
    <x v="116"/>
    <n v="7670.52"/>
    <n v="39.619999999999997"/>
    <n v="7630.9"/>
    <x v="1"/>
    <x v="0"/>
    <n v="0.2656474195314748"/>
  </r>
  <r>
    <s v="CLM00118"/>
    <x v="8"/>
    <n v="66"/>
    <x v="1"/>
    <x v="1"/>
    <s v="PV005"/>
    <x v="4"/>
    <x v="1"/>
    <x v="100"/>
    <x v="7"/>
    <s v="K21.0"/>
    <x v="4"/>
    <x v="117"/>
    <n v="2624.6"/>
    <n v="27.4"/>
    <n v="2597.1999999999998"/>
    <x v="1"/>
    <x v="1"/>
    <n v="0.32158408496655205"/>
  </r>
  <r>
    <s v="CLM00119"/>
    <x v="39"/>
    <n v="37"/>
    <x v="0"/>
    <x v="1"/>
    <s v="PV005"/>
    <x v="4"/>
    <x v="1"/>
    <x v="101"/>
    <x v="1"/>
    <s v="N39.0"/>
    <x v="7"/>
    <x v="118"/>
    <n v="8841.59"/>
    <n v="25.33"/>
    <n v="8816.26"/>
    <x v="0"/>
    <x v="0"/>
    <n v="0.23053438578974372"/>
  </r>
  <r>
    <s v="CLM00120"/>
    <x v="19"/>
    <n v="66"/>
    <x v="1"/>
    <x v="0"/>
    <s v="PV004"/>
    <x v="2"/>
    <x v="1"/>
    <x v="102"/>
    <x v="7"/>
    <s v="J06.9"/>
    <x v="9"/>
    <x v="119"/>
    <n v="7819.81"/>
    <n v="147.71"/>
    <n v="7672.1"/>
    <x v="1"/>
    <x v="1"/>
    <n v="0.21392095869245356"/>
  </r>
  <r>
    <s v="CLM00121"/>
    <x v="1"/>
    <n v="74"/>
    <x v="0"/>
    <x v="1"/>
    <s v="PV005"/>
    <x v="4"/>
    <x v="1"/>
    <x v="103"/>
    <x v="1"/>
    <s v="N39.0"/>
    <x v="7"/>
    <x v="120"/>
    <n v="4862.16"/>
    <n v="139.33000000000001"/>
    <n v="0"/>
    <x v="2"/>
    <x v="0"/>
    <n v="1"/>
  </r>
  <r>
    <s v="CLM00122"/>
    <x v="14"/>
    <n v="46"/>
    <x v="1"/>
    <x v="1"/>
    <s v="PV001"/>
    <x v="0"/>
    <x v="0"/>
    <x v="93"/>
    <x v="2"/>
    <s v="K21.0"/>
    <x v="4"/>
    <x v="121"/>
    <n v="956.89"/>
    <n v="56.94"/>
    <n v="899.95"/>
    <x v="0"/>
    <x v="0"/>
    <n v="0.29132215135050005"/>
  </r>
  <r>
    <s v="CLM00123"/>
    <x v="29"/>
    <n v="60"/>
    <x v="0"/>
    <x v="1"/>
    <s v="PV003"/>
    <x v="3"/>
    <x v="2"/>
    <x v="104"/>
    <x v="10"/>
    <s v="K21.0"/>
    <x v="4"/>
    <x v="122"/>
    <n v="5625.75"/>
    <n v="97.36"/>
    <n v="5528.39"/>
    <x v="1"/>
    <x v="1"/>
    <n v="0.34396623230833306"/>
  </r>
  <r>
    <s v="CLM00124"/>
    <x v="29"/>
    <n v="36"/>
    <x v="1"/>
    <x v="2"/>
    <s v="PV005"/>
    <x v="4"/>
    <x v="1"/>
    <x v="105"/>
    <x v="7"/>
    <s v="I10"/>
    <x v="2"/>
    <x v="123"/>
    <n v="5284.42"/>
    <n v="67.040000000000006"/>
    <n v="5217.38"/>
    <x v="1"/>
    <x v="1"/>
    <n v="0.33156703252496034"/>
  </r>
  <r>
    <s v="CLM00125"/>
    <x v="24"/>
    <n v="59"/>
    <x v="1"/>
    <x v="1"/>
    <s v="PV002"/>
    <x v="1"/>
    <x v="1"/>
    <x v="106"/>
    <x v="6"/>
    <s v="M54.5"/>
    <x v="1"/>
    <x v="124"/>
    <n v="1268.5999999999999"/>
    <n v="122.46"/>
    <n v="1146.1400000000001"/>
    <x v="0"/>
    <x v="0"/>
    <n v="0.4229192890589597"/>
  </r>
  <r>
    <s v="CLM00126"/>
    <x v="43"/>
    <n v="53"/>
    <x v="1"/>
    <x v="2"/>
    <s v="PV004"/>
    <x v="2"/>
    <x v="1"/>
    <x v="107"/>
    <x v="6"/>
    <s v="S52.501A"/>
    <x v="3"/>
    <x v="125"/>
    <n v="1656.87"/>
    <n v="120.24"/>
    <n v="1536.63"/>
    <x v="1"/>
    <x v="0"/>
    <n v="0.2586086276855975"/>
  </r>
  <r>
    <s v="CLM00127"/>
    <x v="29"/>
    <n v="75"/>
    <x v="0"/>
    <x v="0"/>
    <s v="PV005"/>
    <x v="4"/>
    <x v="1"/>
    <x v="108"/>
    <x v="5"/>
    <s v="N39.0"/>
    <x v="7"/>
    <x v="126"/>
    <n v="7117.95"/>
    <n v="50.42"/>
    <n v="7067.53"/>
    <x v="1"/>
    <x v="1"/>
    <n v="0.22042193552941597"/>
  </r>
  <r>
    <s v="CLM00128"/>
    <x v="3"/>
    <n v="33"/>
    <x v="0"/>
    <x v="0"/>
    <s v="PV003"/>
    <x v="3"/>
    <x v="2"/>
    <x v="109"/>
    <x v="4"/>
    <s v="N39.0"/>
    <x v="7"/>
    <x v="127"/>
    <n v="4127.53"/>
    <n v="41.07"/>
    <n v="4086.46"/>
    <x v="1"/>
    <x v="1"/>
    <n v="0.33112363817305673"/>
  </r>
  <r>
    <s v="CLM00129"/>
    <x v="7"/>
    <n v="35"/>
    <x v="0"/>
    <x v="2"/>
    <s v="PV005"/>
    <x v="4"/>
    <x v="1"/>
    <x v="89"/>
    <x v="7"/>
    <s v="K21.0"/>
    <x v="4"/>
    <x v="128"/>
    <n v="6047.02"/>
    <n v="36.21"/>
    <n v="6010.81"/>
    <x v="1"/>
    <x v="0"/>
    <n v="0.29944755888626007"/>
  </r>
  <r>
    <s v="CLM00130"/>
    <x v="15"/>
    <n v="50"/>
    <x v="0"/>
    <x v="0"/>
    <s v="PV001"/>
    <x v="0"/>
    <x v="0"/>
    <x v="110"/>
    <x v="8"/>
    <s v="F32.9"/>
    <x v="8"/>
    <x v="129"/>
    <n v="8013.59"/>
    <n v="140.96"/>
    <n v="0"/>
    <x v="2"/>
    <x v="0"/>
    <n v="1"/>
  </r>
  <r>
    <s v="CLM00131"/>
    <x v="14"/>
    <n v="33"/>
    <x v="1"/>
    <x v="2"/>
    <s v="PV002"/>
    <x v="1"/>
    <x v="1"/>
    <x v="111"/>
    <x v="3"/>
    <s v="K21.0"/>
    <x v="4"/>
    <x v="130"/>
    <n v="2276.2399999999998"/>
    <n v="112.91"/>
    <n v="2163.33"/>
    <x v="1"/>
    <x v="1"/>
    <n v="0.44903245195368813"/>
  </r>
  <r>
    <s v="CLM00132"/>
    <x v="14"/>
    <n v="60"/>
    <x v="0"/>
    <x v="0"/>
    <s v="PV004"/>
    <x v="2"/>
    <x v="1"/>
    <x v="112"/>
    <x v="9"/>
    <s v="I10"/>
    <x v="2"/>
    <x v="131"/>
    <n v="6115.42"/>
    <n v="22.47"/>
    <n v="6092.95"/>
    <x v="1"/>
    <x v="1"/>
    <n v="0.18126199293726858"/>
  </r>
  <r>
    <s v="CLM00133"/>
    <x v="8"/>
    <n v="32"/>
    <x v="0"/>
    <x v="1"/>
    <s v="PV003"/>
    <x v="3"/>
    <x v="2"/>
    <x v="113"/>
    <x v="7"/>
    <s v="M54.5"/>
    <x v="1"/>
    <x v="132"/>
    <n v="483.86"/>
    <n v="123.21"/>
    <n v="0"/>
    <x v="2"/>
    <x v="0"/>
    <n v="1"/>
  </r>
  <r>
    <s v="CLM00134"/>
    <x v="10"/>
    <n v="61"/>
    <x v="0"/>
    <x v="0"/>
    <s v="PV005"/>
    <x v="4"/>
    <x v="1"/>
    <x v="114"/>
    <x v="8"/>
    <s v="Z23"/>
    <x v="5"/>
    <x v="133"/>
    <n v="5522.75"/>
    <n v="20.2"/>
    <n v="5502.55"/>
    <x v="1"/>
    <x v="0"/>
    <n v="0.36494994085230387"/>
  </r>
  <r>
    <s v="CLM00135"/>
    <x v="12"/>
    <n v="26"/>
    <x v="0"/>
    <x v="2"/>
    <s v="PV003"/>
    <x v="3"/>
    <x v="2"/>
    <x v="97"/>
    <x v="7"/>
    <s v="Z23"/>
    <x v="5"/>
    <x v="134"/>
    <n v="8164.87"/>
    <n v="122.23"/>
    <n v="8042.64"/>
    <x v="0"/>
    <x v="1"/>
    <n v="0.29745287971606843"/>
  </r>
  <r>
    <s v="CLM00136"/>
    <x v="24"/>
    <n v="62"/>
    <x v="0"/>
    <x v="0"/>
    <s v="PV003"/>
    <x v="3"/>
    <x v="2"/>
    <x v="21"/>
    <x v="0"/>
    <s v="K21.0"/>
    <x v="4"/>
    <x v="135"/>
    <n v="269.37"/>
    <n v="64.819999999999993"/>
    <n v="204.55"/>
    <x v="1"/>
    <x v="1"/>
    <n v="0.40272140625456243"/>
  </r>
  <r>
    <s v="CLM00137"/>
    <x v="25"/>
    <n v="36"/>
    <x v="1"/>
    <x v="0"/>
    <s v="PV003"/>
    <x v="3"/>
    <x v="2"/>
    <x v="115"/>
    <x v="10"/>
    <s v="Z23"/>
    <x v="5"/>
    <x v="136"/>
    <n v="1743.68"/>
    <n v="80.400000000000006"/>
    <n v="0"/>
    <x v="2"/>
    <x v="1"/>
    <n v="1"/>
  </r>
  <r>
    <s v="CLM00138"/>
    <x v="19"/>
    <n v="50"/>
    <x v="0"/>
    <x v="2"/>
    <s v="PV003"/>
    <x v="3"/>
    <x v="2"/>
    <x v="62"/>
    <x v="8"/>
    <s v="J06.9"/>
    <x v="9"/>
    <x v="137"/>
    <n v="408.04"/>
    <n v="25.45"/>
    <n v="382.59"/>
    <x v="1"/>
    <x v="0"/>
    <n v="0.42820206247197734"/>
  </r>
  <r>
    <s v="CLM00139"/>
    <x v="6"/>
    <n v="50"/>
    <x v="0"/>
    <x v="2"/>
    <s v="PV003"/>
    <x v="3"/>
    <x v="2"/>
    <x v="116"/>
    <x v="3"/>
    <s v="J45.909"/>
    <x v="6"/>
    <x v="138"/>
    <n v="6761.91"/>
    <n v="36.18"/>
    <n v="6725.73"/>
    <x v="1"/>
    <x v="0"/>
    <n v="0.35389842752583883"/>
  </r>
  <r>
    <s v="CLM00140"/>
    <x v="0"/>
    <n v="52"/>
    <x v="1"/>
    <x v="1"/>
    <s v="PV004"/>
    <x v="2"/>
    <x v="1"/>
    <x v="117"/>
    <x v="2"/>
    <s v="N39.0"/>
    <x v="7"/>
    <x v="139"/>
    <n v="7836.36"/>
    <n v="124.15"/>
    <n v="0"/>
    <x v="2"/>
    <x v="1"/>
    <n v="1"/>
  </r>
  <r>
    <s v="CLM00141"/>
    <x v="13"/>
    <n v="69"/>
    <x v="0"/>
    <x v="2"/>
    <s v="PV001"/>
    <x v="0"/>
    <x v="0"/>
    <x v="118"/>
    <x v="2"/>
    <s v="E11.9"/>
    <x v="0"/>
    <x v="140"/>
    <n v="5123.96"/>
    <n v="98.34"/>
    <n v="0"/>
    <x v="2"/>
    <x v="0"/>
    <n v="1"/>
  </r>
  <r>
    <s v="CLM00142"/>
    <x v="21"/>
    <n v="65"/>
    <x v="0"/>
    <x v="2"/>
    <s v="PV005"/>
    <x v="4"/>
    <x v="1"/>
    <x v="72"/>
    <x v="4"/>
    <s v="K21.0"/>
    <x v="4"/>
    <x v="141"/>
    <n v="2872.56"/>
    <n v="143.22999999999999"/>
    <n v="2729.33"/>
    <x v="1"/>
    <x v="0"/>
    <n v="0.19807667446260888"/>
  </r>
  <r>
    <s v="CLM00143"/>
    <x v="24"/>
    <n v="66"/>
    <x v="0"/>
    <x v="2"/>
    <s v="PV002"/>
    <x v="1"/>
    <x v="1"/>
    <x v="60"/>
    <x v="11"/>
    <s v="J06.9"/>
    <x v="9"/>
    <x v="142"/>
    <n v="5577.92"/>
    <n v="36.409999999999997"/>
    <n v="5541.51"/>
    <x v="1"/>
    <x v="0"/>
    <n v="0.32299657314592534"/>
  </r>
  <r>
    <s v="CLM00144"/>
    <x v="28"/>
    <n v="33"/>
    <x v="0"/>
    <x v="2"/>
    <s v="PV002"/>
    <x v="1"/>
    <x v="1"/>
    <x v="90"/>
    <x v="10"/>
    <s v="S52.501A"/>
    <x v="3"/>
    <x v="143"/>
    <n v="3624.91"/>
    <n v="77.709999999999994"/>
    <n v="3547.2"/>
    <x v="1"/>
    <x v="1"/>
    <n v="0.35288730621463155"/>
  </r>
  <r>
    <s v="CLM00145"/>
    <x v="34"/>
    <n v="41"/>
    <x v="0"/>
    <x v="1"/>
    <s v="PV001"/>
    <x v="0"/>
    <x v="0"/>
    <x v="119"/>
    <x v="3"/>
    <s v="M54.5"/>
    <x v="1"/>
    <x v="144"/>
    <n v="6204.88"/>
    <n v="70.31"/>
    <n v="6134.57"/>
    <x v="0"/>
    <x v="0"/>
    <n v="0.30821572552225768"/>
  </r>
  <r>
    <s v="CLM00146"/>
    <x v="31"/>
    <n v="36"/>
    <x v="0"/>
    <x v="0"/>
    <s v="PV003"/>
    <x v="3"/>
    <x v="2"/>
    <x v="120"/>
    <x v="0"/>
    <s v="S52.501A"/>
    <x v="3"/>
    <x v="145"/>
    <n v="7678.13"/>
    <n v="35.94"/>
    <n v="7642.19"/>
    <x v="1"/>
    <x v="1"/>
    <n v="0.30590411869634565"/>
  </r>
  <r>
    <s v="CLM00147"/>
    <x v="22"/>
    <n v="57"/>
    <x v="1"/>
    <x v="0"/>
    <s v="PV001"/>
    <x v="0"/>
    <x v="0"/>
    <x v="121"/>
    <x v="1"/>
    <s v="K21.0"/>
    <x v="4"/>
    <x v="146"/>
    <n v="5374.18"/>
    <n v="130.68"/>
    <n v="5243.5"/>
    <x v="1"/>
    <x v="0"/>
    <n v="0.20247675569947354"/>
  </r>
  <r>
    <s v="CLM00148"/>
    <x v="18"/>
    <n v="64"/>
    <x v="1"/>
    <x v="0"/>
    <s v="PV004"/>
    <x v="2"/>
    <x v="1"/>
    <x v="11"/>
    <x v="3"/>
    <s v="M54.5"/>
    <x v="1"/>
    <x v="147"/>
    <n v="3194.62"/>
    <n v="80.760000000000005"/>
    <n v="3113.86"/>
    <x v="0"/>
    <x v="1"/>
    <n v="0.29656035530495045"/>
  </r>
  <r>
    <s v="CLM00149"/>
    <x v="39"/>
    <n v="29"/>
    <x v="0"/>
    <x v="2"/>
    <s v="PV005"/>
    <x v="4"/>
    <x v="1"/>
    <x v="122"/>
    <x v="4"/>
    <s v="N39.0"/>
    <x v="7"/>
    <x v="148"/>
    <n v="7383.9"/>
    <n v="29.59"/>
    <n v="7354.31"/>
    <x v="1"/>
    <x v="1"/>
    <n v="0.20619238823046865"/>
  </r>
  <r>
    <s v="CLM00150"/>
    <x v="15"/>
    <n v="32"/>
    <x v="1"/>
    <x v="2"/>
    <s v="PV005"/>
    <x v="4"/>
    <x v="1"/>
    <x v="123"/>
    <x v="10"/>
    <s v="I10"/>
    <x v="2"/>
    <x v="149"/>
    <n v="5552.28"/>
    <n v="36.770000000000003"/>
    <n v="5515.51"/>
    <x v="0"/>
    <x v="0"/>
    <n v="0.22483366735720128"/>
  </r>
  <r>
    <s v="CLM00151"/>
    <x v="40"/>
    <n v="37"/>
    <x v="0"/>
    <x v="0"/>
    <s v="PV002"/>
    <x v="1"/>
    <x v="1"/>
    <x v="124"/>
    <x v="2"/>
    <s v="K21.0"/>
    <x v="4"/>
    <x v="150"/>
    <n v="8028.88"/>
    <n v="56.93"/>
    <n v="7971.95"/>
    <x v="1"/>
    <x v="1"/>
    <n v="0.2993343106854825"/>
  </r>
  <r>
    <s v="CLM00152"/>
    <x v="13"/>
    <n v="67"/>
    <x v="0"/>
    <x v="1"/>
    <s v="PV005"/>
    <x v="4"/>
    <x v="1"/>
    <x v="97"/>
    <x v="7"/>
    <s v="S52.501A"/>
    <x v="3"/>
    <x v="151"/>
    <n v="3666.9"/>
    <n v="142.41"/>
    <n v="3524.49"/>
    <x v="1"/>
    <x v="0"/>
    <n v="0.42273429323444967"/>
  </r>
  <r>
    <s v="CLM00153"/>
    <x v="1"/>
    <n v="64"/>
    <x v="1"/>
    <x v="2"/>
    <s v="PV001"/>
    <x v="0"/>
    <x v="0"/>
    <x v="125"/>
    <x v="10"/>
    <s v="E11.9"/>
    <x v="0"/>
    <x v="152"/>
    <n v="5844.97"/>
    <n v="47.41"/>
    <n v="5797.56"/>
    <x v="0"/>
    <x v="1"/>
    <n v="0.37570827706959048"/>
  </r>
  <r>
    <s v="CLM00154"/>
    <x v="30"/>
    <n v="28"/>
    <x v="1"/>
    <x v="2"/>
    <s v="PV004"/>
    <x v="2"/>
    <x v="1"/>
    <x v="126"/>
    <x v="8"/>
    <s v="J45.909"/>
    <x v="6"/>
    <x v="153"/>
    <n v="7317.41"/>
    <n v="58.67"/>
    <n v="7258.74"/>
    <x v="1"/>
    <x v="1"/>
    <n v="0.25055985462880265"/>
  </r>
  <r>
    <s v="CLM00155"/>
    <x v="32"/>
    <n v="33"/>
    <x v="0"/>
    <x v="1"/>
    <s v="PV002"/>
    <x v="1"/>
    <x v="1"/>
    <x v="127"/>
    <x v="2"/>
    <s v="N39.0"/>
    <x v="7"/>
    <x v="154"/>
    <n v="4724.6099999999997"/>
    <n v="113.39"/>
    <n v="4611.22"/>
    <x v="1"/>
    <x v="0"/>
    <n v="0.37167594141917337"/>
  </r>
  <r>
    <s v="CLM00156"/>
    <x v="23"/>
    <n v="49"/>
    <x v="0"/>
    <x v="0"/>
    <s v="PV002"/>
    <x v="1"/>
    <x v="1"/>
    <x v="86"/>
    <x v="9"/>
    <s v="K21.0"/>
    <x v="4"/>
    <x v="155"/>
    <n v="1097.0899999999999"/>
    <n v="38.31"/>
    <n v="1058.78"/>
    <x v="1"/>
    <x v="0"/>
    <n v="0.33903912902339756"/>
  </r>
  <r>
    <s v="CLM00157"/>
    <x v="17"/>
    <n v="56"/>
    <x v="0"/>
    <x v="2"/>
    <s v="PV005"/>
    <x v="4"/>
    <x v="1"/>
    <x v="0"/>
    <x v="0"/>
    <s v="K21.0"/>
    <x v="4"/>
    <x v="156"/>
    <n v="3003.32"/>
    <n v="84.77"/>
    <n v="2918.55"/>
    <x v="0"/>
    <x v="0"/>
    <n v="0.24304984607085148"/>
  </r>
  <r>
    <s v="CLM00158"/>
    <x v="23"/>
    <n v="56"/>
    <x v="0"/>
    <x v="2"/>
    <s v="PV005"/>
    <x v="4"/>
    <x v="1"/>
    <x v="128"/>
    <x v="9"/>
    <s v="F32.9"/>
    <x v="8"/>
    <x v="157"/>
    <n v="7131.92"/>
    <n v="65.88"/>
    <n v="7066.04"/>
    <x v="1"/>
    <x v="0"/>
    <n v="0.39113366031206592"/>
  </r>
  <r>
    <s v="CLM00159"/>
    <x v="33"/>
    <n v="50"/>
    <x v="1"/>
    <x v="1"/>
    <s v="PV004"/>
    <x v="2"/>
    <x v="1"/>
    <x v="19"/>
    <x v="6"/>
    <s v="E11.9"/>
    <x v="0"/>
    <x v="158"/>
    <n v="8148.93"/>
    <n v="119.3"/>
    <n v="8029.63"/>
    <x v="1"/>
    <x v="0"/>
    <n v="0.24299478651092193"/>
  </r>
  <r>
    <s v="CLM00160"/>
    <x v="16"/>
    <n v="68"/>
    <x v="1"/>
    <x v="0"/>
    <s v="PV005"/>
    <x v="4"/>
    <x v="1"/>
    <x v="129"/>
    <x v="5"/>
    <s v="K21.0"/>
    <x v="4"/>
    <x v="159"/>
    <n v="716.25"/>
    <n v="119.37"/>
    <n v="596.88"/>
    <x v="1"/>
    <x v="1"/>
    <n v="0.41559700396534"/>
  </r>
  <r>
    <s v="CLM00161"/>
    <x v="32"/>
    <n v="57"/>
    <x v="1"/>
    <x v="0"/>
    <s v="PV003"/>
    <x v="3"/>
    <x v="2"/>
    <x v="130"/>
    <x v="1"/>
    <s v="K21.0"/>
    <x v="4"/>
    <x v="160"/>
    <n v="8756.1200000000008"/>
    <n v="45.88"/>
    <n v="8710.24"/>
    <x v="0"/>
    <x v="0"/>
    <n v="0.22757867218136069"/>
  </r>
  <r>
    <s v="CLM00162"/>
    <x v="16"/>
    <n v="45"/>
    <x v="1"/>
    <x v="2"/>
    <s v="PV004"/>
    <x v="2"/>
    <x v="1"/>
    <x v="103"/>
    <x v="1"/>
    <s v="K21.0"/>
    <x v="4"/>
    <x v="161"/>
    <n v="4073.13"/>
    <n v="87.02"/>
    <n v="3986.11"/>
    <x v="1"/>
    <x v="1"/>
    <n v="0.28375777809322394"/>
  </r>
  <r>
    <s v="CLM00163"/>
    <x v="45"/>
    <n v="26"/>
    <x v="0"/>
    <x v="2"/>
    <s v="PV003"/>
    <x v="3"/>
    <x v="2"/>
    <x v="36"/>
    <x v="1"/>
    <s v="S52.501A"/>
    <x v="3"/>
    <x v="162"/>
    <n v="7072.34"/>
    <n v="112.14"/>
    <n v="6960.2"/>
    <x v="1"/>
    <x v="0"/>
    <n v="0.30155149454653829"/>
  </r>
  <r>
    <s v="CLM00164"/>
    <x v="3"/>
    <n v="55"/>
    <x v="0"/>
    <x v="1"/>
    <s v="PV005"/>
    <x v="4"/>
    <x v="1"/>
    <x v="131"/>
    <x v="5"/>
    <s v="F32.9"/>
    <x v="8"/>
    <x v="163"/>
    <n v="7362.44"/>
    <n v="109.45"/>
    <n v="7252.99"/>
    <x v="1"/>
    <x v="0"/>
    <n v="0.24381381926155768"/>
  </r>
  <r>
    <s v="CLM00165"/>
    <x v="14"/>
    <n v="68"/>
    <x v="1"/>
    <x v="0"/>
    <s v="PV005"/>
    <x v="4"/>
    <x v="1"/>
    <x v="132"/>
    <x v="9"/>
    <s v="J06.9"/>
    <x v="9"/>
    <x v="164"/>
    <n v="1603.42"/>
    <n v="100.57"/>
    <n v="0"/>
    <x v="2"/>
    <x v="0"/>
    <n v="1"/>
  </r>
  <r>
    <s v="CLM00166"/>
    <x v="19"/>
    <n v="74"/>
    <x v="0"/>
    <x v="1"/>
    <s v="PV001"/>
    <x v="0"/>
    <x v="0"/>
    <x v="133"/>
    <x v="9"/>
    <s v="M54.5"/>
    <x v="1"/>
    <x v="165"/>
    <n v="2302.6799999999998"/>
    <n v="109.77"/>
    <n v="0"/>
    <x v="2"/>
    <x v="0"/>
    <n v="1"/>
  </r>
  <r>
    <s v="CLM00167"/>
    <x v="38"/>
    <n v="36"/>
    <x v="0"/>
    <x v="1"/>
    <s v="PV005"/>
    <x v="4"/>
    <x v="1"/>
    <x v="134"/>
    <x v="8"/>
    <s v="I10"/>
    <x v="2"/>
    <x v="166"/>
    <n v="5773.21"/>
    <n v="82.19"/>
    <n v="0"/>
    <x v="2"/>
    <x v="1"/>
    <n v="1"/>
  </r>
  <r>
    <s v="CLM00168"/>
    <x v="29"/>
    <n v="74"/>
    <x v="0"/>
    <x v="1"/>
    <s v="PV005"/>
    <x v="4"/>
    <x v="1"/>
    <x v="32"/>
    <x v="9"/>
    <s v="J45.909"/>
    <x v="6"/>
    <x v="167"/>
    <n v="1515.17"/>
    <n v="92.55"/>
    <n v="1422.62"/>
    <x v="1"/>
    <x v="1"/>
    <n v="0.41415705443658812"/>
  </r>
  <r>
    <s v="CLM00169"/>
    <x v="34"/>
    <n v="61"/>
    <x v="0"/>
    <x v="2"/>
    <s v="PV004"/>
    <x v="2"/>
    <x v="1"/>
    <x v="135"/>
    <x v="2"/>
    <s v="K21.0"/>
    <x v="4"/>
    <x v="168"/>
    <n v="5639.52"/>
    <n v="113.82"/>
    <n v="5525.7"/>
    <x v="1"/>
    <x v="1"/>
    <n v="0.18641357641148565"/>
  </r>
  <r>
    <s v="CLM00170"/>
    <x v="39"/>
    <n v="41"/>
    <x v="0"/>
    <x v="0"/>
    <s v="PV003"/>
    <x v="3"/>
    <x v="2"/>
    <x v="80"/>
    <x v="3"/>
    <s v="I10"/>
    <x v="2"/>
    <x v="169"/>
    <n v="2719.5"/>
    <n v="65.03"/>
    <n v="0"/>
    <x v="2"/>
    <x v="1"/>
    <n v="1"/>
  </r>
  <r>
    <s v="CLM00171"/>
    <x v="21"/>
    <n v="58"/>
    <x v="1"/>
    <x v="1"/>
    <s v="PV003"/>
    <x v="3"/>
    <x v="2"/>
    <x v="8"/>
    <x v="6"/>
    <s v="Z23"/>
    <x v="5"/>
    <x v="170"/>
    <n v="1115.4100000000001"/>
    <n v="51.11"/>
    <n v="1064.3"/>
    <x v="1"/>
    <x v="0"/>
    <n v="0.26311853939196722"/>
  </r>
  <r>
    <s v="CLM00172"/>
    <x v="12"/>
    <n v="35"/>
    <x v="0"/>
    <x v="1"/>
    <s v="PV004"/>
    <x v="2"/>
    <x v="1"/>
    <x v="136"/>
    <x v="2"/>
    <s v="E11.9"/>
    <x v="0"/>
    <x v="171"/>
    <n v="5018.8100000000004"/>
    <n v="120.2"/>
    <n v="4898.6099999999997"/>
    <x v="1"/>
    <x v="1"/>
    <n v="0.43373187572320826"/>
  </r>
  <r>
    <s v="CLM00173"/>
    <x v="2"/>
    <n v="59"/>
    <x v="1"/>
    <x v="0"/>
    <s v="PV003"/>
    <x v="3"/>
    <x v="2"/>
    <x v="87"/>
    <x v="2"/>
    <s v="M54.5"/>
    <x v="1"/>
    <x v="172"/>
    <n v="2005.39"/>
    <n v="119.93"/>
    <n v="1885.46"/>
    <x v="0"/>
    <x v="0"/>
    <n v="0.46620349530175503"/>
  </r>
  <r>
    <s v="CLM00174"/>
    <x v="33"/>
    <n v="25"/>
    <x v="0"/>
    <x v="1"/>
    <s v="PV004"/>
    <x v="2"/>
    <x v="1"/>
    <x v="137"/>
    <x v="9"/>
    <s v="J06.9"/>
    <x v="9"/>
    <x v="173"/>
    <n v="1826.58"/>
    <n v="133.4"/>
    <n v="1693.18"/>
    <x v="1"/>
    <x v="0"/>
    <n v="0.28187836915077252"/>
  </r>
  <r>
    <s v="CLM00175"/>
    <x v="19"/>
    <n v="54"/>
    <x v="0"/>
    <x v="0"/>
    <s v="PV003"/>
    <x v="3"/>
    <x v="2"/>
    <x v="88"/>
    <x v="9"/>
    <s v="K21.0"/>
    <x v="4"/>
    <x v="174"/>
    <n v="8463.7800000000007"/>
    <n v="84.21"/>
    <n v="8379.57"/>
    <x v="1"/>
    <x v="0"/>
    <n v="0.29410411908855577"/>
  </r>
  <r>
    <s v="CLM00176"/>
    <x v="23"/>
    <n v="61"/>
    <x v="1"/>
    <x v="0"/>
    <s v="PV002"/>
    <x v="1"/>
    <x v="1"/>
    <x v="138"/>
    <x v="0"/>
    <s v="K21.0"/>
    <x v="4"/>
    <x v="175"/>
    <n v="3504.77"/>
    <n v="44.21"/>
    <n v="3460.56"/>
    <x v="1"/>
    <x v="1"/>
    <n v="0.38073133457644232"/>
  </r>
  <r>
    <s v="CLM00177"/>
    <x v="45"/>
    <n v="45"/>
    <x v="1"/>
    <x v="0"/>
    <s v="PV005"/>
    <x v="4"/>
    <x v="1"/>
    <x v="139"/>
    <x v="2"/>
    <s v="F32.9"/>
    <x v="8"/>
    <x v="176"/>
    <n v="884.29"/>
    <n v="44.02"/>
    <n v="840.27"/>
    <x v="1"/>
    <x v="1"/>
    <n v="0.2866008965564083"/>
  </r>
  <r>
    <s v="CLM00178"/>
    <x v="40"/>
    <n v="66"/>
    <x v="0"/>
    <x v="1"/>
    <s v="PV004"/>
    <x v="2"/>
    <x v="1"/>
    <x v="44"/>
    <x v="5"/>
    <s v="M54.5"/>
    <x v="1"/>
    <x v="177"/>
    <n v="7338.09"/>
    <n v="113.97"/>
    <n v="7224.12"/>
    <x v="1"/>
    <x v="0"/>
    <n v="0.36936494952995597"/>
  </r>
  <r>
    <s v="CLM00179"/>
    <x v="30"/>
    <n v="32"/>
    <x v="0"/>
    <x v="2"/>
    <s v="PV004"/>
    <x v="2"/>
    <x v="1"/>
    <x v="140"/>
    <x v="5"/>
    <s v="E11.9"/>
    <x v="0"/>
    <x v="178"/>
    <n v="1543.87"/>
    <n v="140"/>
    <n v="1403.87"/>
    <x v="1"/>
    <x v="0"/>
    <n v="0.31271785532448215"/>
  </r>
  <r>
    <s v="CLM00180"/>
    <x v="30"/>
    <n v="60"/>
    <x v="0"/>
    <x v="1"/>
    <s v="PV002"/>
    <x v="1"/>
    <x v="1"/>
    <x v="88"/>
    <x v="9"/>
    <s v="M54.5"/>
    <x v="1"/>
    <x v="179"/>
    <n v="1521.73"/>
    <n v="98.75"/>
    <n v="0"/>
    <x v="2"/>
    <x v="0"/>
    <n v="1"/>
  </r>
  <r>
    <s v="CLM00181"/>
    <x v="34"/>
    <n v="28"/>
    <x v="1"/>
    <x v="1"/>
    <s v="PV005"/>
    <x v="4"/>
    <x v="1"/>
    <x v="113"/>
    <x v="7"/>
    <s v="M54.5"/>
    <x v="1"/>
    <x v="180"/>
    <n v="4517.9799999999996"/>
    <n v="67.03"/>
    <n v="4450.95"/>
    <x v="0"/>
    <x v="0"/>
    <n v="0.30205809714218512"/>
  </r>
  <r>
    <s v="CLM00182"/>
    <x v="0"/>
    <n v="57"/>
    <x v="0"/>
    <x v="0"/>
    <s v="PV003"/>
    <x v="3"/>
    <x v="2"/>
    <x v="81"/>
    <x v="1"/>
    <s v="I10"/>
    <x v="2"/>
    <x v="181"/>
    <n v="4061.38"/>
    <n v="113.2"/>
    <n v="0"/>
    <x v="2"/>
    <x v="0"/>
    <n v="1"/>
  </r>
  <r>
    <s v="CLM00183"/>
    <x v="43"/>
    <n v="26"/>
    <x v="0"/>
    <x v="2"/>
    <s v="PV004"/>
    <x v="2"/>
    <x v="1"/>
    <x v="38"/>
    <x v="9"/>
    <s v="Z23"/>
    <x v="5"/>
    <x v="182"/>
    <n v="4903.16"/>
    <n v="107.46"/>
    <n v="4795.7"/>
    <x v="1"/>
    <x v="0"/>
    <n v="0.29808923723169928"/>
  </r>
  <r>
    <s v="CLM00184"/>
    <x v="8"/>
    <n v="55"/>
    <x v="1"/>
    <x v="2"/>
    <s v="PV005"/>
    <x v="4"/>
    <x v="1"/>
    <x v="141"/>
    <x v="7"/>
    <s v="M54.5"/>
    <x v="1"/>
    <x v="183"/>
    <n v="448.65"/>
    <n v="28.29"/>
    <n v="420.36"/>
    <x v="1"/>
    <x v="0"/>
    <n v="0.38783712937612858"/>
  </r>
  <r>
    <s v="CLM00185"/>
    <x v="35"/>
    <n v="30"/>
    <x v="1"/>
    <x v="1"/>
    <s v="PV004"/>
    <x v="2"/>
    <x v="1"/>
    <x v="2"/>
    <x v="2"/>
    <s v="I10"/>
    <x v="2"/>
    <x v="184"/>
    <n v="7920.66"/>
    <n v="133.05000000000001"/>
    <n v="0"/>
    <x v="2"/>
    <x v="1"/>
    <n v="1"/>
  </r>
  <r>
    <s v="CLM00186"/>
    <x v="7"/>
    <n v="26"/>
    <x v="0"/>
    <x v="2"/>
    <s v="PV002"/>
    <x v="1"/>
    <x v="1"/>
    <x v="36"/>
    <x v="1"/>
    <s v="E11.9"/>
    <x v="0"/>
    <x v="185"/>
    <n v="2827.93"/>
    <n v="147.22999999999999"/>
    <n v="2680.7"/>
    <x v="1"/>
    <x v="1"/>
    <n v="0.44241993119428258"/>
  </r>
  <r>
    <s v="CLM00187"/>
    <x v="33"/>
    <n v="67"/>
    <x v="0"/>
    <x v="1"/>
    <s v="PV004"/>
    <x v="2"/>
    <x v="1"/>
    <x v="142"/>
    <x v="8"/>
    <s v="Z23"/>
    <x v="5"/>
    <x v="186"/>
    <n v="2015.83"/>
    <n v="55.83"/>
    <n v="1960"/>
    <x v="1"/>
    <x v="0"/>
    <n v="0.3642597193660761"/>
  </r>
  <r>
    <s v="CLM00188"/>
    <x v="10"/>
    <n v="72"/>
    <x v="1"/>
    <x v="2"/>
    <s v="PV002"/>
    <x v="1"/>
    <x v="1"/>
    <x v="143"/>
    <x v="7"/>
    <s v="M54.5"/>
    <x v="1"/>
    <x v="187"/>
    <n v="753.65"/>
    <n v="97.71"/>
    <n v="655.94"/>
    <x v="1"/>
    <x v="0"/>
    <n v="0.51254059436843713"/>
  </r>
  <r>
    <s v="CLM00189"/>
    <x v="38"/>
    <n v="61"/>
    <x v="0"/>
    <x v="0"/>
    <s v="PV002"/>
    <x v="1"/>
    <x v="1"/>
    <x v="11"/>
    <x v="3"/>
    <s v="Z23"/>
    <x v="5"/>
    <x v="188"/>
    <n v="1535.48"/>
    <n v="50.44"/>
    <n v="1485.04"/>
    <x v="0"/>
    <x v="0"/>
    <n v="0.17981232844179584"/>
  </r>
  <r>
    <s v="CLM00190"/>
    <x v="25"/>
    <n v="68"/>
    <x v="0"/>
    <x v="1"/>
    <s v="PV002"/>
    <x v="1"/>
    <x v="1"/>
    <x v="144"/>
    <x v="4"/>
    <s v="Z23"/>
    <x v="5"/>
    <x v="189"/>
    <n v="2108.88"/>
    <n v="143.31"/>
    <n v="1965.57"/>
    <x v="1"/>
    <x v="0"/>
    <n v="0.4703309673559799"/>
  </r>
  <r>
    <s v="CLM00191"/>
    <x v="42"/>
    <n v="73"/>
    <x v="0"/>
    <x v="0"/>
    <s v="PV004"/>
    <x v="2"/>
    <x v="1"/>
    <x v="145"/>
    <x v="1"/>
    <s v="K21.0"/>
    <x v="4"/>
    <x v="190"/>
    <n v="2650.32"/>
    <n v="39.4"/>
    <n v="0"/>
    <x v="2"/>
    <x v="0"/>
    <n v="1"/>
  </r>
  <r>
    <s v="CLM00192"/>
    <x v="46"/>
    <n v="33"/>
    <x v="0"/>
    <x v="0"/>
    <s v="PV002"/>
    <x v="1"/>
    <x v="1"/>
    <x v="146"/>
    <x v="9"/>
    <s v="J45.909"/>
    <x v="6"/>
    <x v="191"/>
    <n v="7898.46"/>
    <n v="145.81"/>
    <n v="7752.65"/>
    <x v="0"/>
    <x v="0"/>
    <n v="0.29455179768655687"/>
  </r>
  <r>
    <s v="CLM00193"/>
    <x v="15"/>
    <n v="42"/>
    <x v="0"/>
    <x v="1"/>
    <s v="PV001"/>
    <x v="0"/>
    <x v="0"/>
    <x v="137"/>
    <x v="9"/>
    <s v="K21.0"/>
    <x v="4"/>
    <x v="192"/>
    <n v="5886.31"/>
    <n v="114.2"/>
    <n v="5772.11"/>
    <x v="1"/>
    <x v="0"/>
    <n v="0.43346979397420438"/>
  </r>
  <r>
    <s v="CLM00194"/>
    <x v="29"/>
    <n v="25"/>
    <x v="1"/>
    <x v="0"/>
    <s v="PV002"/>
    <x v="1"/>
    <x v="1"/>
    <x v="78"/>
    <x v="11"/>
    <s v="E11.9"/>
    <x v="0"/>
    <x v="193"/>
    <n v="6267.3"/>
    <n v="82.32"/>
    <n v="6184.98"/>
    <x v="1"/>
    <x v="0"/>
    <n v="0.29177077345523095"/>
  </r>
  <r>
    <s v="CLM00195"/>
    <x v="38"/>
    <n v="74"/>
    <x v="0"/>
    <x v="2"/>
    <s v="PV002"/>
    <x v="1"/>
    <x v="1"/>
    <x v="4"/>
    <x v="0"/>
    <s v="N39.0"/>
    <x v="7"/>
    <x v="194"/>
    <n v="4470.32"/>
    <n v="138.97"/>
    <n v="4331.3500000000004"/>
    <x v="0"/>
    <x v="1"/>
    <n v="0.40765109078575956"/>
  </r>
  <r>
    <s v="CLM00196"/>
    <x v="7"/>
    <n v="45"/>
    <x v="1"/>
    <x v="2"/>
    <s v="PV003"/>
    <x v="3"/>
    <x v="2"/>
    <x v="147"/>
    <x v="2"/>
    <s v="J45.909"/>
    <x v="6"/>
    <x v="195"/>
    <n v="4353.7299999999996"/>
    <n v="32.82"/>
    <n v="0"/>
    <x v="2"/>
    <x v="1"/>
    <n v="1"/>
  </r>
  <r>
    <s v="CLM00197"/>
    <x v="9"/>
    <n v="71"/>
    <x v="0"/>
    <x v="2"/>
    <s v="PV005"/>
    <x v="4"/>
    <x v="1"/>
    <x v="95"/>
    <x v="8"/>
    <s v="J06.9"/>
    <x v="9"/>
    <x v="196"/>
    <n v="4957.08"/>
    <n v="91.93"/>
    <n v="4865.1499999999996"/>
    <x v="0"/>
    <x v="0"/>
    <n v="0.45542454308561608"/>
  </r>
  <r>
    <s v="CLM00198"/>
    <x v="40"/>
    <n v="73"/>
    <x v="0"/>
    <x v="1"/>
    <s v="PV002"/>
    <x v="1"/>
    <x v="1"/>
    <x v="109"/>
    <x v="4"/>
    <s v="K21.0"/>
    <x v="4"/>
    <x v="197"/>
    <n v="4304.91"/>
    <n v="91.58"/>
    <n v="4213.33"/>
    <x v="1"/>
    <x v="1"/>
    <n v="0.38955029042264505"/>
  </r>
  <r>
    <s v="CLM00199"/>
    <x v="42"/>
    <n v="59"/>
    <x v="1"/>
    <x v="1"/>
    <s v="PV002"/>
    <x v="1"/>
    <x v="1"/>
    <x v="21"/>
    <x v="0"/>
    <s v="N39.0"/>
    <x v="7"/>
    <x v="198"/>
    <n v="5749.74"/>
    <n v="113.64"/>
    <n v="0"/>
    <x v="2"/>
    <x v="0"/>
    <n v="1"/>
  </r>
  <r>
    <s v="CLM00200"/>
    <x v="44"/>
    <n v="38"/>
    <x v="0"/>
    <x v="2"/>
    <s v="PV001"/>
    <x v="0"/>
    <x v="0"/>
    <x v="148"/>
    <x v="4"/>
    <s v="J06.9"/>
    <x v="9"/>
    <x v="199"/>
    <n v="1315.26"/>
    <n v="28.84"/>
    <n v="1286.42"/>
    <x v="1"/>
    <x v="1"/>
    <n v="0.276995621799951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72E1B-9B48-7749-8D24-3DF92CF39B72}" name="Total Allowed Amount"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9:L20" firstHeaderRow="1" firstDataRow="1" firstDataCol="0"/>
  <pivotFields count="19">
    <pivotField showAll="0"/>
    <pivotField showAll="0"/>
    <pivotField showAll="0"/>
    <pivotField showAll="0">
      <items count="3">
        <item x="0"/>
        <item x="1"/>
        <item t="default"/>
      </items>
    </pivotField>
    <pivotField showAll="0">
      <items count="4">
        <item x="1"/>
        <item x="0"/>
        <item x="2"/>
        <item t="default"/>
      </items>
    </pivotField>
    <pivotField showAll="0"/>
    <pivotField showAll="0"/>
    <pivotField showAll="0"/>
    <pivotField numFmtId="164" showAll="0"/>
    <pivotField showAll="0"/>
    <pivotField showAll="0"/>
    <pivotField showAll="0"/>
    <pivotField numFmtId="4" showAll="0"/>
    <pivotField dataField="1" numFmtId="4" showAll="0"/>
    <pivotField numFmtId="4" showAll="0"/>
    <pivotField numFmtId="4" showAll="0"/>
    <pivotField showAll="0"/>
    <pivotField showAll="0"/>
    <pivotField numFmtId="9" showAll="0"/>
  </pivotFields>
  <rowItems count="1">
    <i/>
  </rowItems>
  <colItems count="1">
    <i/>
  </colItems>
  <dataFields count="1">
    <dataField name="Sum of Allowed Amount ($)" fld="13"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11E1A3-5E3D-F640-8805-375BC159B9C6}" name="Total Paid Amount"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L16" firstHeaderRow="1" firstDataRow="1" firstDataCol="0"/>
  <pivotFields count="19">
    <pivotField showAll="0"/>
    <pivotField showAll="0"/>
    <pivotField showAll="0"/>
    <pivotField showAll="0">
      <items count="3">
        <item x="0"/>
        <item x="1"/>
        <item t="default"/>
      </items>
    </pivotField>
    <pivotField showAll="0">
      <items count="4">
        <item x="1"/>
        <item x="0"/>
        <item x="2"/>
        <item t="default"/>
      </items>
    </pivotField>
    <pivotField showAll="0"/>
    <pivotField showAll="0"/>
    <pivotField showAll="0"/>
    <pivotField numFmtId="164" showAll="0"/>
    <pivotField showAll="0"/>
    <pivotField showAll="0"/>
    <pivotField showAll="0"/>
    <pivotField numFmtId="4" showAll="0"/>
    <pivotField numFmtId="4" showAll="0"/>
    <pivotField numFmtId="4" showAll="0"/>
    <pivotField dataField="1" numFmtId="4" showAll="0"/>
    <pivotField showAll="0"/>
    <pivotField showAll="0"/>
    <pivotField numFmtId="9" showAll="0"/>
  </pivotFields>
  <rowItems count="1">
    <i/>
  </rowItems>
  <colItems count="1">
    <i/>
  </colItems>
  <dataFields count="1">
    <dataField name="Sum of Paid Amount ($)" fld="1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9B6BAF-3DBB-5F46-8FBC-87946E3ECBB4}" name="Write-off rate"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7" firstHeaderRow="1" firstDataRow="1" firstDataCol="1"/>
  <pivotFields count="19">
    <pivotField showAll="0"/>
    <pivotField showAll="0"/>
    <pivotField showAll="0"/>
    <pivotField showAll="0">
      <items count="3">
        <item x="0"/>
        <item x="1"/>
        <item t="default"/>
      </items>
    </pivotField>
    <pivotField showAll="0">
      <items count="4">
        <item x="1"/>
        <item x="0"/>
        <item x="2"/>
        <item t="default"/>
      </items>
    </pivotField>
    <pivotField showAll="0"/>
    <pivotField showAll="0"/>
    <pivotField axis="axisRow" showAll="0">
      <items count="4">
        <item x="2"/>
        <item x="0"/>
        <item x="1"/>
        <item t="default"/>
      </items>
    </pivotField>
    <pivotField numFmtId="164" showAll="0"/>
    <pivotField showAll="0"/>
    <pivotField showAll="0"/>
    <pivotField showAll="0"/>
    <pivotField numFmtId="4" showAll="0"/>
    <pivotField numFmtId="4" showAll="0"/>
    <pivotField numFmtId="4" showAll="0"/>
    <pivotField numFmtId="4" showAll="0"/>
    <pivotField showAll="0"/>
    <pivotField showAll="0"/>
    <pivotField dataField="1" numFmtId="9" showAll="0"/>
  </pivotFields>
  <rowFields count="1">
    <field x="7"/>
  </rowFields>
  <rowItems count="4">
    <i>
      <x/>
    </i>
    <i>
      <x v="1"/>
    </i>
    <i>
      <x v="2"/>
    </i>
    <i t="grand">
      <x/>
    </i>
  </rowItems>
  <colItems count="1">
    <i/>
  </colItems>
  <dataFields count="1">
    <dataField name="Average of Write-off Rate" fld="18" subtotal="average" baseField="0" baseItem="0" numFmtId="9"/>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B824FA-E96B-134A-84C4-6DBAC669ECE4}" name="PivotTable8"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1:L12" firstHeaderRow="1" firstDataRow="1" firstDataCol="0"/>
  <pivotFields count="19">
    <pivotField showAll="0"/>
    <pivotField showAll="0"/>
    <pivotField showAll="0"/>
    <pivotField showAll="0"/>
    <pivotField showAll="0">
      <items count="4">
        <item x="1"/>
        <item x="0"/>
        <item x="2"/>
        <item t="default"/>
      </items>
    </pivotField>
    <pivotField showAll="0"/>
    <pivotField showAll="0"/>
    <pivotField showAll="0"/>
    <pivotField numFmtId="164" showAll="0"/>
    <pivotField showAll="0"/>
    <pivotField showAll="0"/>
    <pivotField showAll="0"/>
    <pivotField dataField="1" numFmtId="4" showAll="0">
      <items count="201">
        <item x="96"/>
        <item x="135"/>
        <item x="29"/>
        <item x="34"/>
        <item x="137"/>
        <item x="183"/>
        <item x="132"/>
        <item x="104"/>
        <item x="91"/>
        <item x="7"/>
        <item x="16"/>
        <item x="80"/>
        <item x="4"/>
        <item x="66"/>
        <item x="159"/>
        <item x="108"/>
        <item x="176"/>
        <item x="121"/>
        <item x="102"/>
        <item x="92"/>
        <item x="187"/>
        <item x="170"/>
        <item x="155"/>
        <item x="100"/>
        <item x="199"/>
        <item x="188"/>
        <item x="39"/>
        <item x="179"/>
        <item x="124"/>
        <item x="178"/>
        <item x="125"/>
        <item x="164"/>
        <item x="64"/>
        <item x="136"/>
        <item x="31"/>
        <item x="173"/>
        <item x="167"/>
        <item x="5"/>
        <item x="27"/>
        <item x="55"/>
        <item x="32"/>
        <item x="58"/>
        <item x="13"/>
        <item x="17"/>
        <item x="40"/>
        <item x="8"/>
        <item x="186"/>
        <item x="30"/>
        <item x="61"/>
        <item x="83"/>
        <item x="72"/>
        <item x="6"/>
        <item x="141"/>
        <item x="0"/>
        <item x="2"/>
        <item x="19"/>
        <item x="54"/>
        <item x="109"/>
        <item x="172"/>
        <item x="43"/>
        <item x="169"/>
        <item x="85"/>
        <item x="81"/>
        <item x="189"/>
        <item x="37"/>
        <item x="36"/>
        <item x="117"/>
        <item x="156"/>
        <item x="165"/>
        <item x="77"/>
        <item x="130"/>
        <item x="190"/>
        <item x="28"/>
        <item x="79"/>
        <item x="75"/>
        <item x="147"/>
        <item x="107"/>
        <item x="46"/>
        <item x="185"/>
        <item x="20"/>
        <item x="44"/>
        <item x="73"/>
        <item x="69"/>
        <item x="35"/>
        <item x="181"/>
        <item x="143"/>
        <item x="15"/>
        <item x="161"/>
        <item x="175"/>
        <item x="76"/>
        <item x="88"/>
        <item x="151"/>
        <item x="127"/>
        <item x="25"/>
        <item x="114"/>
        <item x="195"/>
        <item x="180"/>
        <item x="14"/>
        <item x="12"/>
        <item x="67"/>
        <item x="146"/>
        <item x="60"/>
        <item x="56"/>
        <item x="111"/>
        <item x="168"/>
        <item x="166"/>
        <item x="182"/>
        <item x="197"/>
        <item x="112"/>
        <item x="87"/>
        <item x="22"/>
        <item x="149"/>
        <item x="51"/>
        <item x="59"/>
        <item x="1"/>
        <item x="115"/>
        <item x="194"/>
        <item x="154"/>
        <item x="120"/>
        <item x="131"/>
        <item x="93"/>
        <item x="49"/>
        <item x="123"/>
        <item x="101"/>
        <item x="18"/>
        <item x="140"/>
        <item x="52"/>
        <item x="57"/>
        <item x="26"/>
        <item x="142"/>
        <item x="82"/>
        <item x="70"/>
        <item x="122"/>
        <item x="106"/>
        <item x="128"/>
        <item x="24"/>
        <item x="171"/>
        <item x="133"/>
        <item x="89"/>
        <item x="193"/>
        <item x="3"/>
        <item x="53"/>
        <item x="144"/>
        <item x="196"/>
        <item x="42"/>
        <item x="103"/>
        <item x="90"/>
        <item x="126"/>
        <item x="45"/>
        <item x="9"/>
        <item x="110"/>
        <item x="148"/>
        <item x="152"/>
        <item x="98"/>
        <item x="95"/>
        <item x="97"/>
        <item x="38"/>
        <item x="198"/>
        <item x="163"/>
        <item x="86"/>
        <item x="153"/>
        <item x="119"/>
        <item x="129"/>
        <item x="71"/>
        <item x="162"/>
        <item x="74"/>
        <item x="48"/>
        <item x="113"/>
        <item x="105"/>
        <item x="192"/>
        <item x="65"/>
        <item x="10"/>
        <item x="116"/>
        <item x="138"/>
        <item x="47"/>
        <item x="78"/>
        <item x="158"/>
        <item x="94"/>
        <item x="191"/>
        <item x="145"/>
        <item x="41"/>
        <item x="139"/>
        <item x="160"/>
        <item x="23"/>
        <item x="150"/>
        <item x="62"/>
        <item x="134"/>
        <item x="11"/>
        <item x="177"/>
        <item x="118"/>
        <item x="21"/>
        <item x="84"/>
        <item x="50"/>
        <item x="157"/>
        <item x="33"/>
        <item x="174"/>
        <item x="63"/>
        <item x="184"/>
        <item x="99"/>
        <item x="68"/>
        <item t="default"/>
      </items>
    </pivotField>
    <pivotField numFmtId="4" showAll="0"/>
    <pivotField numFmtId="4" showAll="0"/>
    <pivotField numFmtId="4" showAll="0"/>
    <pivotField showAll="0"/>
    <pivotField showAll="0"/>
    <pivotField numFmtId="9" showAll="0"/>
  </pivotFields>
  <rowItems count="1">
    <i/>
  </rowItems>
  <colItems count="1">
    <i/>
  </colItems>
  <dataFields count="1">
    <dataField name="Sum of Billed Amount ($)" fld="12"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4117E9-DC4A-224B-909C-B44C985B8F48}" name="Prior Auth vs Claim Statu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E33" firstHeaderRow="1" firstDataRow="2" firstDataCol="1"/>
  <pivotFields count="19">
    <pivotField dataField="1" showAll="0"/>
    <pivotField showAll="0"/>
    <pivotField showAll="0"/>
    <pivotField showAll="0"/>
    <pivotField showAll="0">
      <items count="4">
        <item x="1"/>
        <item x="0"/>
        <item x="2"/>
        <item t="default"/>
      </items>
    </pivotField>
    <pivotField showAll="0"/>
    <pivotField showAll="0"/>
    <pivotField showAll="0"/>
    <pivotField numFmtId="164" showAll="0"/>
    <pivotField showAll="0"/>
    <pivotField showAll="0"/>
    <pivotField showAll="0">
      <items count="11">
        <item x="6"/>
        <item x="8"/>
        <item x="3"/>
        <item x="4"/>
        <item x="2"/>
        <item x="1"/>
        <item x="0"/>
        <item x="9"/>
        <item x="7"/>
        <item x="5"/>
        <item t="default"/>
      </items>
    </pivotField>
    <pivotField numFmtId="4" showAll="0"/>
    <pivotField numFmtId="4" showAll="0"/>
    <pivotField numFmtId="4" showAll="0"/>
    <pivotField numFmtId="4" showAll="0"/>
    <pivotField axis="axisCol" showAll="0">
      <items count="4">
        <item x="1"/>
        <item x="2"/>
        <item x="0"/>
        <item t="default"/>
      </items>
    </pivotField>
    <pivotField axis="axisRow" showAll="0">
      <items count="3">
        <item x="1"/>
        <item x="0"/>
        <item t="default"/>
      </items>
    </pivotField>
    <pivotField numFmtId="9" showAll="0"/>
  </pivotFields>
  <rowFields count="1">
    <field x="17"/>
  </rowFields>
  <rowItems count="3">
    <i>
      <x/>
    </i>
    <i>
      <x v="1"/>
    </i>
    <i t="grand">
      <x/>
    </i>
  </rowItems>
  <colFields count="1">
    <field x="16"/>
  </colFields>
  <colItems count="4">
    <i>
      <x/>
    </i>
    <i>
      <x v="1"/>
    </i>
    <i>
      <x v="2"/>
    </i>
    <i t="grand">
      <x/>
    </i>
  </colItems>
  <dataFields count="1">
    <dataField name="Count of Claim ID" fld="0" subtotal="count" baseField="0" baseItem="0"/>
  </dataFields>
  <chartFormats count="3">
    <chartFormat chart="3" format="6" series="1">
      <pivotArea type="data" outline="0" fieldPosition="0">
        <references count="2">
          <reference field="4294967294" count="1" selected="0">
            <x v="0"/>
          </reference>
          <reference field="16" count="1" selected="0">
            <x v="0"/>
          </reference>
        </references>
      </pivotArea>
    </chartFormat>
    <chartFormat chart="3" format="7" series="1">
      <pivotArea type="data" outline="0" fieldPosition="0">
        <references count="2">
          <reference field="4294967294" count="1" selected="0">
            <x v="0"/>
          </reference>
          <reference field="16" count="1" selected="0">
            <x v="1"/>
          </reference>
        </references>
      </pivotArea>
    </chartFormat>
    <chartFormat chart="3"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05E581-2CF6-F747-BC08-85682676F36E}" name="Claim Status by Diagnosi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E25" firstHeaderRow="1" firstDataRow="2" firstDataCol="1"/>
  <pivotFields count="19">
    <pivotField dataField="1" showAll="0"/>
    <pivotField showAll="0"/>
    <pivotField showAll="0"/>
    <pivotField showAll="0"/>
    <pivotField showAll="0">
      <items count="4">
        <item x="1"/>
        <item x="0"/>
        <item x="2"/>
        <item t="default"/>
      </items>
    </pivotField>
    <pivotField showAll="0"/>
    <pivotField showAll="0"/>
    <pivotField showAll="0"/>
    <pivotField numFmtId="164" showAll="0"/>
    <pivotField showAll="0"/>
    <pivotField showAll="0"/>
    <pivotField axis="axisRow" showAll="0" sortType="ascending">
      <items count="11">
        <item x="6"/>
        <item x="8"/>
        <item x="3"/>
        <item x="4"/>
        <item x="2"/>
        <item x="1"/>
        <item x="0"/>
        <item x="9"/>
        <item x="7"/>
        <item x="5"/>
        <item t="default"/>
      </items>
      <autoSortScope>
        <pivotArea dataOnly="0" outline="0" fieldPosition="0">
          <references count="1">
            <reference field="4294967294" count="1" selected="0">
              <x v="0"/>
            </reference>
          </references>
        </pivotArea>
      </autoSortScope>
    </pivotField>
    <pivotField numFmtId="4" showAll="0"/>
    <pivotField numFmtId="4" showAll="0"/>
    <pivotField numFmtId="4" showAll="0"/>
    <pivotField numFmtId="4" showAll="0"/>
    <pivotField axis="axisCol" showAll="0">
      <items count="4">
        <item x="1"/>
        <item x="2"/>
        <item x="0"/>
        <item t="default"/>
      </items>
    </pivotField>
    <pivotField showAll="0"/>
    <pivotField numFmtId="9" showAll="0"/>
  </pivotFields>
  <rowFields count="1">
    <field x="11"/>
  </rowFields>
  <rowItems count="11">
    <i>
      <x v="7"/>
    </i>
    <i>
      <x v="1"/>
    </i>
    <i>
      <x v="8"/>
    </i>
    <i>
      <x v="2"/>
    </i>
    <i>
      <x v="9"/>
    </i>
    <i>
      <x v="5"/>
    </i>
    <i>
      <x/>
    </i>
    <i>
      <x v="6"/>
    </i>
    <i>
      <x v="4"/>
    </i>
    <i>
      <x v="3"/>
    </i>
    <i t="grand">
      <x/>
    </i>
  </rowItems>
  <colFields count="1">
    <field x="16"/>
  </colFields>
  <colItems count="4">
    <i>
      <x/>
    </i>
    <i>
      <x v="1"/>
    </i>
    <i>
      <x v="2"/>
    </i>
    <i t="grand">
      <x/>
    </i>
  </colItems>
  <dataFields count="1">
    <dataField name="Count of Claim ID" fld="0" subtotal="count" baseField="0" baseItem="0"/>
  </dataFields>
  <chartFormats count="3">
    <chartFormat chart="8" format="6" series="1">
      <pivotArea type="data" outline="0" fieldPosition="0">
        <references count="2">
          <reference field="4294967294" count="1" selected="0">
            <x v="0"/>
          </reference>
          <reference field="16" count="1" selected="0">
            <x v="0"/>
          </reference>
        </references>
      </pivotArea>
    </chartFormat>
    <chartFormat chart="8" format="7" series="1">
      <pivotArea type="data" outline="0" fieldPosition="0">
        <references count="2">
          <reference field="4294967294" count="1" selected="0">
            <x v="0"/>
          </reference>
          <reference field="16" count="1" selected="0">
            <x v="1"/>
          </reference>
        </references>
      </pivotArea>
    </chartFormat>
    <chartFormat chart="8" format="8"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0916D8-047A-434B-A5FB-B3E1B17D0B75}" name="Billed vs Paid by Provider Type"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N7" firstHeaderRow="0" firstDataRow="1" firstDataCol="1"/>
  <pivotFields count="19">
    <pivotField showAll="0"/>
    <pivotField showAll="0"/>
    <pivotField showAll="0"/>
    <pivotField showAll="0">
      <items count="3">
        <item x="0"/>
        <item x="1"/>
        <item t="default"/>
      </items>
    </pivotField>
    <pivotField showAll="0">
      <items count="4">
        <item x="1"/>
        <item x="0"/>
        <item x="2"/>
        <item t="default"/>
      </items>
    </pivotField>
    <pivotField showAll="0"/>
    <pivotField showAll="0"/>
    <pivotField axis="axisRow" showAll="0">
      <items count="4">
        <item x="2"/>
        <item x="0"/>
        <item x="1"/>
        <item t="default"/>
      </items>
    </pivotField>
    <pivotField numFmtId="164" showAll="0"/>
    <pivotField showAll="0"/>
    <pivotField showAll="0"/>
    <pivotField showAll="0">
      <items count="11">
        <item x="6"/>
        <item x="8"/>
        <item x="3"/>
        <item x="4"/>
        <item x="2"/>
        <item x="1"/>
        <item x="0"/>
        <item x="9"/>
        <item x="7"/>
        <item x="5"/>
        <item t="default"/>
      </items>
    </pivotField>
    <pivotField dataField="1" numFmtId="4" showAll="0"/>
    <pivotField numFmtId="4" showAll="0"/>
    <pivotField numFmtId="4" showAll="0"/>
    <pivotField dataField="1" numFmtId="4" showAll="0"/>
    <pivotField showAll="0"/>
    <pivotField showAll="0"/>
    <pivotField numFmtId="9" showAll="0"/>
  </pivotFields>
  <rowFields count="1">
    <field x="7"/>
  </rowFields>
  <rowItems count="4">
    <i>
      <x/>
    </i>
    <i>
      <x v="1"/>
    </i>
    <i>
      <x v="2"/>
    </i>
    <i t="grand">
      <x/>
    </i>
  </rowItems>
  <colFields count="1">
    <field x="-2"/>
  </colFields>
  <colItems count="2">
    <i>
      <x/>
    </i>
    <i i="1">
      <x v="1"/>
    </i>
  </colItems>
  <dataFields count="2">
    <dataField name="Sum of Billed Amount ($)" fld="12" baseField="0" baseItem="0" numFmtId="4"/>
    <dataField name="Sum of Paid Amount ($)" fld="15" baseField="0" baseItem="0" numFmtId="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FBFBB8-DE75-324D-BB2D-5A8B325AB022}" name="Number of Members per Insurance Company" cacheId="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9">
    <pivotField showAll="0"/>
    <pivotField dataField="1" showAll="0"/>
    <pivotField showAll="0"/>
    <pivotField showAll="0">
      <items count="3">
        <item x="0"/>
        <item x="1"/>
        <item t="default"/>
      </items>
    </pivotField>
    <pivotField showAll="0">
      <items count="4">
        <item x="1"/>
        <item x="0"/>
        <item x="2"/>
        <item t="default"/>
      </items>
    </pivotField>
    <pivotField showAll="0"/>
    <pivotField axis="axisRow" showAll="0" sortType="descending">
      <items count="6">
        <item x="0"/>
        <item x="3"/>
        <item x="2"/>
        <item x="4"/>
        <item x="1"/>
        <item t="default"/>
      </items>
      <autoSortScope>
        <pivotArea dataOnly="0" outline="0" fieldPosition="0">
          <references count="1">
            <reference field="4294967294" count="1" selected="0">
              <x v="0"/>
            </reference>
          </references>
        </pivotArea>
      </autoSortScope>
    </pivotField>
    <pivotField showAll="0"/>
    <pivotField numFmtId="164" showAll="0">
      <items count="150">
        <item x="28"/>
        <item x="74"/>
        <item x="22"/>
        <item x="31"/>
        <item x="80"/>
        <item x="48"/>
        <item x="11"/>
        <item x="116"/>
        <item x="119"/>
        <item x="58"/>
        <item x="66"/>
        <item x="45"/>
        <item x="3"/>
        <item x="59"/>
        <item x="13"/>
        <item x="26"/>
        <item x="111"/>
        <item x="53"/>
        <item x="97"/>
        <item x="33"/>
        <item x="102"/>
        <item x="9"/>
        <item x="141"/>
        <item x="143"/>
        <item x="89"/>
        <item x="113"/>
        <item x="23"/>
        <item x="100"/>
        <item x="85"/>
        <item x="105"/>
        <item x="50"/>
        <item x="12"/>
        <item x="8"/>
        <item x="20"/>
        <item x="106"/>
        <item x="107"/>
        <item x="19"/>
        <item x="64"/>
        <item x="46"/>
        <item x="52"/>
        <item x="62"/>
        <item x="95"/>
        <item x="70"/>
        <item x="134"/>
        <item x="110"/>
        <item x="126"/>
        <item x="25"/>
        <item x="16"/>
        <item x="41"/>
        <item x="39"/>
        <item x="114"/>
        <item x="142"/>
        <item x="47"/>
        <item x="129"/>
        <item x="94"/>
        <item x="56"/>
        <item x="44"/>
        <item x="14"/>
        <item x="108"/>
        <item x="34"/>
        <item x="140"/>
        <item x="7"/>
        <item x="55"/>
        <item x="131"/>
        <item x="139"/>
        <item x="117"/>
        <item x="147"/>
        <item x="87"/>
        <item x="118"/>
        <item x="136"/>
        <item x="127"/>
        <item x="99"/>
        <item x="124"/>
        <item x="93"/>
        <item x="5"/>
        <item x="135"/>
        <item x="2"/>
        <item x="148"/>
        <item x="68"/>
        <item x="98"/>
        <item x="51"/>
        <item x="43"/>
        <item x="144"/>
        <item x="72"/>
        <item x="73"/>
        <item x="109"/>
        <item x="122"/>
        <item x="40"/>
        <item x="6"/>
        <item x="32"/>
        <item x="146"/>
        <item x="54"/>
        <item x="17"/>
        <item x="128"/>
        <item x="132"/>
        <item x="137"/>
        <item x="133"/>
        <item x="112"/>
        <item x="88"/>
        <item x="38"/>
        <item x="86"/>
        <item x="57"/>
        <item x="130"/>
        <item x="65"/>
        <item x="121"/>
        <item x="15"/>
        <item x="1"/>
        <item x="10"/>
        <item x="69"/>
        <item x="81"/>
        <item x="101"/>
        <item x="103"/>
        <item x="36"/>
        <item x="71"/>
        <item x="29"/>
        <item x="145"/>
        <item x="27"/>
        <item x="79"/>
        <item x="61"/>
        <item x="60"/>
        <item x="37"/>
        <item x="49"/>
        <item x="67"/>
        <item x="78"/>
        <item x="75"/>
        <item x="83"/>
        <item x="84"/>
        <item x="123"/>
        <item x="77"/>
        <item x="82"/>
        <item x="90"/>
        <item x="24"/>
        <item x="18"/>
        <item x="125"/>
        <item x="115"/>
        <item x="96"/>
        <item x="104"/>
        <item x="30"/>
        <item x="0"/>
        <item x="21"/>
        <item x="91"/>
        <item x="63"/>
        <item x="76"/>
        <item x="35"/>
        <item x="42"/>
        <item x="4"/>
        <item x="138"/>
        <item x="92"/>
        <item x="120"/>
        <item t="default"/>
      </items>
    </pivotField>
    <pivotField showAll="0"/>
    <pivotField showAll="0"/>
    <pivotField showAll="0">
      <items count="11">
        <item x="6"/>
        <item x="8"/>
        <item x="3"/>
        <item x="4"/>
        <item x="2"/>
        <item x="1"/>
        <item x="0"/>
        <item x="9"/>
        <item x="7"/>
        <item x="5"/>
        <item t="default"/>
      </items>
    </pivotField>
    <pivotField numFmtId="4" showAll="0"/>
    <pivotField numFmtId="4" showAll="0"/>
    <pivotField numFmtId="4" showAll="0"/>
    <pivotField numFmtId="4" showAll="0"/>
    <pivotField showAll="0"/>
    <pivotField showAll="0"/>
    <pivotField numFmtId="9" showAll="0"/>
  </pivotFields>
  <rowFields count="1">
    <field x="6"/>
  </rowFields>
  <rowItems count="6">
    <i>
      <x v="2"/>
    </i>
    <i>
      <x v="4"/>
    </i>
    <i>
      <x v="1"/>
    </i>
    <i>
      <x v="3"/>
    </i>
    <i>
      <x/>
    </i>
    <i t="grand">
      <x/>
    </i>
  </rowItems>
  <colItems count="1">
    <i/>
  </colItems>
  <dataFields count="1">
    <dataField name="Count of Member ID"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179C56-9CD0-DB43-BC51-F8A445848FC5}" name="Top Members by Total Billed"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8:I39" firstHeaderRow="1" firstDataRow="1" firstDataCol="1"/>
  <pivotFields count="19">
    <pivotField showAll="0"/>
    <pivotField axis="axisRow" showAll="0" measureFilter="1" sortType="descending">
      <items count="48">
        <item x="24"/>
        <item x="7"/>
        <item x="20"/>
        <item x="43"/>
        <item x="30"/>
        <item x="4"/>
        <item x="21"/>
        <item x="39"/>
        <item x="25"/>
        <item x="16"/>
        <item x="3"/>
        <item x="9"/>
        <item x="28"/>
        <item x="12"/>
        <item x="26"/>
        <item x="46"/>
        <item x="19"/>
        <item x="41"/>
        <item x="45"/>
        <item x="17"/>
        <item x="31"/>
        <item x="6"/>
        <item x="1"/>
        <item x="32"/>
        <item x="35"/>
        <item x="22"/>
        <item x="27"/>
        <item x="38"/>
        <item x="29"/>
        <item x="23"/>
        <item x="37"/>
        <item x="40"/>
        <item x="10"/>
        <item x="2"/>
        <item x="5"/>
        <item x="36"/>
        <item x="42"/>
        <item x="13"/>
        <item x="14"/>
        <item x="18"/>
        <item x="34"/>
        <item x="11"/>
        <item x="0"/>
        <item x="8"/>
        <item x="15"/>
        <item x="33"/>
        <item x="4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 showAll="0"/>
    <pivotField showAll="0"/>
    <pivotField numFmtId="164" showAll="0"/>
    <pivotField showAll="0"/>
    <pivotField showAll="0"/>
    <pivotField showAll="0"/>
    <pivotField dataField="1" numFmtId="4" showAll="0"/>
    <pivotField numFmtId="4" showAll="0"/>
    <pivotField numFmtId="4" showAll="0"/>
    <pivotField numFmtId="4" showAll="0"/>
    <pivotField showAll="0"/>
    <pivotField showAll="0"/>
    <pivotField numFmtId="9" showAll="0"/>
  </pivotFields>
  <rowFields count="1">
    <field x="1"/>
  </rowFields>
  <rowItems count="11">
    <i>
      <x v="1"/>
    </i>
    <i>
      <x v="28"/>
    </i>
    <i>
      <x v="22"/>
    </i>
    <i>
      <x v="29"/>
    </i>
    <i>
      <x v="42"/>
    </i>
    <i>
      <x v="5"/>
    </i>
    <i>
      <x v="31"/>
    </i>
    <i>
      <x v="19"/>
    </i>
    <i>
      <x v="38"/>
    </i>
    <i>
      <x v="44"/>
    </i>
    <i t="grand">
      <x/>
    </i>
  </rowItems>
  <colItems count="1">
    <i/>
  </colItems>
  <dataFields count="1">
    <dataField name="Sum of Billed Amount ($)" fld="12" baseField="0" baseItem="0" numFmtId="4"/>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1F7693-5F5A-EB44-AED8-B78011C83A07}" name="Claim Count by Month"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1:J24" firstHeaderRow="0" firstDataRow="1" firstDataCol="1"/>
  <pivotFields count="19">
    <pivotField dataField="1" showAll="0"/>
    <pivotField showAll="0"/>
    <pivotField showAll="0"/>
    <pivotField showAll="0">
      <items count="3">
        <item x="0"/>
        <item x="1"/>
        <item t="default"/>
      </items>
    </pivotField>
    <pivotField showAll="0">
      <items count="4">
        <item x="1"/>
        <item x="0"/>
        <item x="2"/>
        <item t="default"/>
      </items>
    </pivotField>
    <pivotField showAll="0"/>
    <pivotField showAll="0"/>
    <pivotField showAll="0"/>
    <pivotField numFmtId="164" showAll="0"/>
    <pivotField axis="axisRow" showAll="0">
      <items count="13">
        <item x="3"/>
        <item x="7"/>
        <item x="6"/>
        <item x="8"/>
        <item x="5"/>
        <item x="2"/>
        <item x="4"/>
        <item x="9"/>
        <item x="1"/>
        <item x="11"/>
        <item x="10"/>
        <item x="0"/>
        <item t="default"/>
      </items>
    </pivotField>
    <pivotField showAll="0"/>
    <pivotField showAll="0">
      <items count="11">
        <item x="6"/>
        <item x="8"/>
        <item x="3"/>
        <item x="4"/>
        <item x="2"/>
        <item x="1"/>
        <item x="0"/>
        <item x="9"/>
        <item x="7"/>
        <item x="5"/>
        <item t="default"/>
      </items>
    </pivotField>
    <pivotField dataField="1" numFmtId="4" showAll="0"/>
    <pivotField numFmtId="4" showAll="0"/>
    <pivotField numFmtId="4" showAll="0"/>
    <pivotField numFmtId="4" showAll="0"/>
    <pivotField showAll="0"/>
    <pivotField showAll="0"/>
    <pivotField numFmtId="9" showAll="0"/>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Count of Claim ID" fld="0" subtotal="count" baseField="0" baseItem="0"/>
    <dataField name="Sum of Billed Amount ($)" fld="12" baseField="0" baseItem="0" numFmtId="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 xr10:uid="{E482FD64-36C8-1F4A-B5B8-DE1C100D337C}" sourceName="Plan">
  <pivotTables>
    <pivotTable tabId="2" name="Number of Members per Insurance Company"/>
    <pivotTable tabId="2" name="Claim Status by Diagnosis"/>
    <pivotTable tabId="2" name="Billed vs Paid by Provider Type"/>
    <pivotTable tabId="2" name="Claim Count by Month"/>
    <pivotTable tabId="2" name="Prior Auth vs Claim Status"/>
    <pivotTable tabId="2" name="Top Members by Total Billed"/>
    <pivotTable tabId="2" name="Write-off rate"/>
    <pivotTable tabId="2" name="PivotTable8"/>
    <pivotTable tabId="2" name="Total Allowed Amount"/>
    <pivotTable tabId="2" name="Total Paid Amount"/>
  </pivotTables>
  <data>
    <tabular pivotCacheId="202207050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37AAD3-5135-B24B-8224-A9B8C99BB81E}" sourceName="Gender">
  <pivotTables>
    <pivotTable tabId="2" name="Claim Count by Month"/>
    <pivotTable tabId="2" name="Billed vs Paid by Provider Type"/>
    <pivotTable tabId="2" name="Number of Members per Insurance Company"/>
    <pivotTable tabId="2" name="Total Allowed Amount"/>
    <pivotTable tabId="2" name="Total Paid Amount"/>
    <pivotTable tabId="2" name="Write-off rate"/>
  </pivotTables>
  <data>
    <tabular pivotCacheId="20220705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96EE8143-16B4-8145-BE03-2713CE57CA77}" sourceName="Diagnosis">
  <pivotTables>
    <pivotTable tabId="2" name="Claim Count by Month"/>
    <pivotTable tabId="2" name="Billed vs Paid by Provider Type"/>
    <pivotTable tabId="2" name="Number of Members per Insurance Company"/>
    <pivotTable tabId="2" name="Prior Auth vs Claim Status"/>
  </pivotTables>
  <data>
    <tabular pivotCacheId="2022070509">
      <items count="10">
        <i x="6" s="1"/>
        <i x="8" s="1"/>
        <i x="3" s="1"/>
        <i x="4" s="1"/>
        <i x="2" s="1"/>
        <i x="1" s="1"/>
        <i x="0" s="1"/>
        <i x="9"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n" xr10:uid="{CC6761F6-A705-EE48-BB87-F282BA9982AE}" cache="Slicer_Plan" caption="Plan" style="SlicerStyleDark6" rowHeight="251883"/>
  <slicer name="Gender" xr10:uid="{B052F82E-2F2D-CF42-A733-D1E621D53FDC}" cache="Slicer_Gender" caption="Gender" style="SlicerStyleDark6" rowHeight="365760"/>
  <slicer name="Diagnosis" xr10:uid="{6F489699-24BF-7B42-A8BA-7B4DBE2DF47A}" cache="Slicer_Diagnosis" caption="Diagnosis" columnCount="2" style="SlicerStyleDark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0BB2BC-68EC-4E4B-B54B-BF77CC06BA9A}" name="Claims_data" displayName="Claims_data" ref="A1:S201" totalsRowShown="0" headerRowDxfId="23" dataDxfId="21" headerRowBorderDxfId="22" tableBorderDxfId="20" totalsRowBorderDxfId="19">
  <autoFilter ref="A1:S201" xr:uid="{3D0BB2BC-68EC-4E4B-B54B-BF77CC06BA9A}"/>
  <tableColumns count="19">
    <tableColumn id="1" xr3:uid="{2FB9290D-5A07-7744-8E34-05D1A15E6280}" name="Claim ID" dataDxfId="18"/>
    <tableColumn id="2" xr3:uid="{F46AA1A0-3659-0F4A-AEB8-DD06193AD8AA}" name="Member ID" dataDxfId="17"/>
    <tableColumn id="3" xr3:uid="{9C11C7E2-C637-EC4F-A2FB-702E527B38BB}" name="Age" dataDxfId="16"/>
    <tableColumn id="4" xr3:uid="{3328154E-50DB-0244-84D6-E526104BB8B4}" name="Gender" dataDxfId="15"/>
    <tableColumn id="5" xr3:uid="{1097EA96-B386-1443-816D-22B6C17396F5}" name="Plan" dataDxfId="14"/>
    <tableColumn id="6" xr3:uid="{ACD2B8B0-E462-2C44-889C-AD7EFB588978}" name="Provider ID" dataDxfId="13"/>
    <tableColumn id="7" xr3:uid="{B834E1EE-27E1-B746-9B56-01A367787D80}" name="Provider Name" dataDxfId="12"/>
    <tableColumn id="8" xr3:uid="{64D91D95-2DEB-AE4D-9129-0C4E45E61516}" name="Provider Type" dataDxfId="11"/>
    <tableColumn id="9" xr3:uid="{B1F76E5D-49CB-5C4A-99A9-ED6B31DC16E8}" name="Service Date" dataDxfId="10"/>
    <tableColumn id="20" xr3:uid="{88A1C555-ED68-6740-BB3D-914793578FBB}" name="Month" dataDxfId="9">
      <calculatedColumnFormula>TEXT(Claims_data[[#This Row],[Service Date]],"mmm")</calculatedColumnFormula>
    </tableColumn>
    <tableColumn id="10" xr3:uid="{4E3D6878-0F07-6E40-AD93-F66FB02D3896}" name="ICD-10 Code" dataDxfId="8"/>
    <tableColumn id="11" xr3:uid="{51356309-F8DD-B74A-83E4-16C449B1DC8A}" name="Diagnosis" dataDxfId="7"/>
    <tableColumn id="12" xr3:uid="{1CA8F098-9F3B-964D-9B00-92EC02F95D4F}" name="Billed Amount ($)" dataDxfId="6"/>
    <tableColumn id="13" xr3:uid="{8E2B5823-9EA6-7040-AB9C-1356928E5C0B}" name="Allowed Amount ($)" dataDxfId="5"/>
    <tableColumn id="14" xr3:uid="{EDEF6D63-1A3E-0247-AE44-93EF42762457}" name="Member Copay ($)" dataDxfId="4"/>
    <tableColumn id="15" xr3:uid="{BDDD16D8-F660-0D41-B61D-DF2CB9F677D9}" name="Paid Amount ($)" dataDxfId="3"/>
    <tableColumn id="16" xr3:uid="{567384FD-E22A-9547-89E5-4AA9EAFBAA08}" name="Claim Status" dataDxfId="2"/>
    <tableColumn id="17" xr3:uid="{18B54F2E-4C91-D840-8BE2-9E65BCBCE964}" name="Prior Auth Required" dataDxfId="1"/>
    <tableColumn id="19" xr3:uid="{F7CF2E62-567A-C548-B1F2-092A23FE5FF5}" name="Write-off Rate" dataDxfId="0" dataCellStyle="Per cent">
      <calculatedColumnFormula>(Claims_data[[#This Row],[Billed Amount ($)]]-Claims_data[[#This Row],[Paid Amount ($)]])/Claims_data[[#This Row],[Billed Amount ($)]]</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ervice_Date" xr10:uid="{3E0B6AC2-0CD5-A94C-863E-FBF0BA0718F5}" sourceName="Service Date">
  <pivotTables>
    <pivotTable tabId="2" name="Number of Members per Insurance Company"/>
  </pivotTables>
  <state minimalRefreshVersion="6" lastRefreshVersion="6" pivotCacheId="202207050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rvice Date" xr10:uid="{0E7BC6BB-315E-0641-8357-921715B73DB2}" cache="NativeTimeline_Service_Date" caption="Service Date" level="2" selectionLevel="2" scrollPosition="2024-01-01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C8437-C346-3F41-8B45-254B8518AD4A}">
  <dimension ref="A1"/>
  <sheetViews>
    <sheetView showGridLines="0" tabSelected="1" workbookViewId="0">
      <selection activeCell="F41" sqref="F41"/>
    </sheetView>
  </sheetViews>
  <sheetFormatPr baseColWidth="10" defaultRowHeight="16" x14ac:dyDescent="0.2"/>
  <cols>
    <col min="1" max="1" width="2"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AABE-933E-B44C-ABD0-829E89CFC779}">
  <dimension ref="A2:N39"/>
  <sheetViews>
    <sheetView showGridLines="0" workbookViewId="0">
      <selection activeCell="M5" sqref="M5"/>
    </sheetView>
  </sheetViews>
  <sheetFormatPr baseColWidth="10" defaultRowHeight="16" x14ac:dyDescent="0.2"/>
  <cols>
    <col min="1" max="1" width="15.6640625" bestFit="1" customWidth="1"/>
    <col min="2" max="2" width="16" bestFit="1" customWidth="1"/>
    <col min="3" max="3" width="7" bestFit="1" customWidth="1"/>
    <col min="4" max="4" width="7.83203125" bestFit="1" customWidth="1"/>
    <col min="5" max="5" width="10.5" bestFit="1" customWidth="1"/>
    <col min="6" max="7" width="16" bestFit="1" customWidth="1"/>
    <col min="8" max="8" width="13" bestFit="1" customWidth="1"/>
    <col min="9" max="9" width="15.6640625" bestFit="1" customWidth="1"/>
    <col min="10" max="10" width="21.6640625" bestFit="1" customWidth="1"/>
    <col min="11" max="11" width="16" bestFit="1" customWidth="1"/>
    <col min="12" max="12" width="13" bestFit="1" customWidth="1"/>
    <col min="13" max="13" width="21.6640625" bestFit="1" customWidth="1"/>
    <col min="14" max="14" width="20.5" bestFit="1" customWidth="1"/>
    <col min="15" max="200" width="16" bestFit="1" customWidth="1"/>
    <col min="201" max="201" width="10.5" bestFit="1" customWidth="1"/>
  </cols>
  <sheetData>
    <row r="2" spans="1:14" x14ac:dyDescent="0.2">
      <c r="A2" s="34" t="s">
        <v>310</v>
      </c>
      <c r="B2" s="34"/>
      <c r="H2" s="34" t="s">
        <v>318</v>
      </c>
      <c r="I2" s="34"/>
      <c r="L2" s="34" t="s">
        <v>335</v>
      </c>
      <c r="M2" s="34"/>
      <c r="N2" s="34"/>
    </row>
    <row r="3" spans="1:14" x14ac:dyDescent="0.2">
      <c r="A3" s="24" t="s">
        <v>307</v>
      </c>
      <c r="B3" t="s">
        <v>309</v>
      </c>
      <c r="H3" s="24" t="s">
        <v>307</v>
      </c>
      <c r="I3" t="s">
        <v>317</v>
      </c>
      <c r="L3" s="24" t="s">
        <v>307</v>
      </c>
      <c r="M3" t="s">
        <v>314</v>
      </c>
      <c r="N3" t="s">
        <v>315</v>
      </c>
    </row>
    <row r="4" spans="1:14" x14ac:dyDescent="0.2">
      <c r="A4" s="25" t="s">
        <v>40</v>
      </c>
      <c r="B4">
        <v>47</v>
      </c>
      <c r="H4" s="25" t="s">
        <v>48</v>
      </c>
      <c r="I4" s="33">
        <v>0.51400705538826141</v>
      </c>
      <c r="L4" s="25" t="s">
        <v>48</v>
      </c>
      <c r="M4" s="27">
        <v>268798.86</v>
      </c>
      <c r="N4" s="27">
        <v>140389.53000000003</v>
      </c>
    </row>
    <row r="5" spans="1:14" x14ac:dyDescent="0.2">
      <c r="A5" s="25" t="s">
        <v>32</v>
      </c>
      <c r="B5">
        <v>46</v>
      </c>
      <c r="H5" s="25" t="s">
        <v>23</v>
      </c>
      <c r="I5" s="33">
        <v>0.44632806145656617</v>
      </c>
      <c r="L5" s="25" t="s">
        <v>23</v>
      </c>
      <c r="M5" s="27">
        <v>183375.20000000004</v>
      </c>
      <c r="N5" s="27">
        <v>102409.03</v>
      </c>
    </row>
    <row r="6" spans="1:14" x14ac:dyDescent="0.2">
      <c r="A6" s="25" t="s">
        <v>47</v>
      </c>
      <c r="B6">
        <v>40</v>
      </c>
      <c r="H6" s="25" t="s">
        <v>33</v>
      </c>
      <c r="I6" s="33">
        <v>0.44427094332007433</v>
      </c>
      <c r="L6" s="25" t="s">
        <v>33</v>
      </c>
      <c r="M6" s="27">
        <v>794857.31</v>
      </c>
      <c r="N6" s="27">
        <v>457968.68</v>
      </c>
    </row>
    <row r="7" spans="1:14" x14ac:dyDescent="0.2">
      <c r="A7" s="25" t="s">
        <v>83</v>
      </c>
      <c r="B7">
        <v>37</v>
      </c>
      <c r="H7" s="25" t="s">
        <v>308</v>
      </c>
      <c r="I7" s="33">
        <v>0.45852673345418493</v>
      </c>
      <c r="L7" s="25" t="s">
        <v>308</v>
      </c>
      <c r="M7" s="27">
        <v>1247031.3700000001</v>
      </c>
      <c r="N7" s="27">
        <v>700767.24</v>
      </c>
    </row>
    <row r="8" spans="1:14" x14ac:dyDescent="0.2">
      <c r="A8" s="25" t="s">
        <v>22</v>
      </c>
      <c r="B8">
        <v>30</v>
      </c>
    </row>
    <row r="9" spans="1:14" x14ac:dyDescent="0.2">
      <c r="A9" s="25" t="s">
        <v>308</v>
      </c>
      <c r="B9">
        <v>200</v>
      </c>
    </row>
    <row r="10" spans="1:14" x14ac:dyDescent="0.2">
      <c r="H10" s="34" t="s">
        <v>333</v>
      </c>
      <c r="I10" s="34"/>
      <c r="J10" s="34"/>
      <c r="L10" s="26" t="s">
        <v>336</v>
      </c>
    </row>
    <row r="11" spans="1:14" x14ac:dyDescent="0.2">
      <c r="H11" s="24" t="s">
        <v>307</v>
      </c>
      <c r="I11" t="s">
        <v>312</v>
      </c>
      <c r="J11" t="s">
        <v>314</v>
      </c>
      <c r="L11" t="s">
        <v>314</v>
      </c>
    </row>
    <row r="12" spans="1:14" x14ac:dyDescent="0.2">
      <c r="A12" s="34" t="s">
        <v>313</v>
      </c>
      <c r="B12" s="34"/>
      <c r="C12" s="34"/>
      <c r="D12" s="34"/>
      <c r="E12" s="34"/>
      <c r="H12" s="25" t="s">
        <v>321</v>
      </c>
      <c r="I12">
        <v>22</v>
      </c>
      <c r="J12" s="27">
        <v>144278.63999999998</v>
      </c>
      <c r="L12" s="27">
        <v>1247031.3699999999</v>
      </c>
    </row>
    <row r="13" spans="1:14" x14ac:dyDescent="0.2">
      <c r="A13" s="24" t="s">
        <v>312</v>
      </c>
      <c r="B13" s="24" t="s">
        <v>311</v>
      </c>
      <c r="H13" s="25" t="s">
        <v>322</v>
      </c>
      <c r="I13">
        <v>20</v>
      </c>
      <c r="J13" s="27">
        <v>120921.90000000002</v>
      </c>
    </row>
    <row r="14" spans="1:14" x14ac:dyDescent="0.2">
      <c r="A14" s="24" t="s">
        <v>307</v>
      </c>
      <c r="B14" t="s">
        <v>43</v>
      </c>
      <c r="C14" t="s">
        <v>51</v>
      </c>
      <c r="D14" t="s">
        <v>26</v>
      </c>
      <c r="E14" t="s">
        <v>308</v>
      </c>
      <c r="H14" s="25" t="s">
        <v>323</v>
      </c>
      <c r="I14">
        <v>13</v>
      </c>
      <c r="J14" s="27">
        <v>70655.73</v>
      </c>
      <c r="L14" s="26" t="s">
        <v>337</v>
      </c>
    </row>
    <row r="15" spans="1:14" x14ac:dyDescent="0.2">
      <c r="A15" s="25" t="s">
        <v>126</v>
      </c>
      <c r="B15">
        <v>6</v>
      </c>
      <c r="C15">
        <v>3</v>
      </c>
      <c r="D15">
        <v>1</v>
      </c>
      <c r="E15">
        <v>10</v>
      </c>
      <c r="H15" s="25" t="s">
        <v>324</v>
      </c>
      <c r="I15">
        <v>15</v>
      </c>
      <c r="J15" s="27">
        <v>87047.58</v>
      </c>
      <c r="L15" t="s">
        <v>315</v>
      </c>
    </row>
    <row r="16" spans="1:14" x14ac:dyDescent="0.2">
      <c r="A16" s="25" t="s">
        <v>112</v>
      </c>
      <c r="B16">
        <v>10</v>
      </c>
      <c r="C16">
        <v>2</v>
      </c>
      <c r="E16">
        <v>12</v>
      </c>
      <c r="H16" s="25" t="s">
        <v>325</v>
      </c>
      <c r="I16">
        <v>14</v>
      </c>
      <c r="J16" s="27">
        <v>83778.399999999994</v>
      </c>
      <c r="L16" s="27">
        <v>700767.24000000011</v>
      </c>
    </row>
    <row r="17" spans="1:12" x14ac:dyDescent="0.2">
      <c r="A17" s="25" t="s">
        <v>86</v>
      </c>
      <c r="B17">
        <v>8</v>
      </c>
      <c r="C17">
        <v>4</v>
      </c>
      <c r="D17">
        <v>4</v>
      </c>
      <c r="E17">
        <v>16</v>
      </c>
      <c r="H17" s="25" t="s">
        <v>326</v>
      </c>
      <c r="I17">
        <v>17</v>
      </c>
      <c r="J17" s="27">
        <v>123967.90000000002</v>
      </c>
    </row>
    <row r="18" spans="1:12" x14ac:dyDescent="0.2">
      <c r="A18" s="25" t="s">
        <v>50</v>
      </c>
      <c r="B18">
        <v>13</v>
      </c>
      <c r="C18">
        <v>2</v>
      </c>
      <c r="D18">
        <v>2</v>
      </c>
      <c r="E18">
        <v>17</v>
      </c>
      <c r="H18" s="25" t="s">
        <v>327</v>
      </c>
      <c r="I18">
        <v>15</v>
      </c>
      <c r="J18" s="27">
        <v>90219.880000000019</v>
      </c>
      <c r="L18" s="26" t="s">
        <v>339</v>
      </c>
    </row>
    <row r="19" spans="1:12" x14ac:dyDescent="0.2">
      <c r="A19" s="25" t="s">
        <v>66</v>
      </c>
      <c r="B19">
        <v>9</v>
      </c>
      <c r="C19">
        <v>3</v>
      </c>
      <c r="D19">
        <v>7</v>
      </c>
      <c r="E19">
        <v>19</v>
      </c>
      <c r="H19" s="25" t="s">
        <v>328</v>
      </c>
      <c r="I19">
        <v>19</v>
      </c>
      <c r="J19" s="27">
        <v>114898.15</v>
      </c>
      <c r="L19" t="s">
        <v>338</v>
      </c>
    </row>
    <row r="20" spans="1:12" x14ac:dyDescent="0.2">
      <c r="A20" s="25" t="s">
        <v>35</v>
      </c>
      <c r="B20">
        <v>8</v>
      </c>
      <c r="C20">
        <v>6</v>
      </c>
      <c r="D20">
        <v>7</v>
      </c>
      <c r="E20">
        <v>21</v>
      </c>
      <c r="H20" s="25" t="s">
        <v>329</v>
      </c>
      <c r="I20">
        <v>22</v>
      </c>
      <c r="J20" s="27">
        <v>152134.93</v>
      </c>
      <c r="L20" s="27">
        <v>874099.05000000051</v>
      </c>
    </row>
    <row r="21" spans="1:12" x14ac:dyDescent="0.2">
      <c r="A21" s="25" t="s">
        <v>74</v>
      </c>
      <c r="B21">
        <v>13</v>
      </c>
      <c r="C21">
        <v>6</v>
      </c>
      <c r="D21">
        <v>3</v>
      </c>
      <c r="E21">
        <v>22</v>
      </c>
      <c r="H21" s="25" t="s">
        <v>330</v>
      </c>
      <c r="I21">
        <v>13</v>
      </c>
      <c r="J21" s="27">
        <v>86127.800000000017</v>
      </c>
    </row>
    <row r="22" spans="1:12" x14ac:dyDescent="0.2">
      <c r="A22" s="25" t="s">
        <v>25</v>
      </c>
      <c r="B22">
        <v>15</v>
      </c>
      <c r="C22">
        <v>4</v>
      </c>
      <c r="D22">
        <v>4</v>
      </c>
      <c r="E22">
        <v>23</v>
      </c>
      <c r="H22" s="25" t="s">
        <v>331</v>
      </c>
      <c r="I22">
        <v>15</v>
      </c>
      <c r="J22" s="27">
        <v>94519.159999999989</v>
      </c>
    </row>
    <row r="23" spans="1:12" x14ac:dyDescent="0.2">
      <c r="A23" s="25" t="s">
        <v>42</v>
      </c>
      <c r="B23">
        <v>10</v>
      </c>
      <c r="C23">
        <v>7</v>
      </c>
      <c r="D23">
        <v>8</v>
      </c>
      <c r="E23">
        <v>25</v>
      </c>
      <c r="H23" s="25" t="s">
        <v>332</v>
      </c>
      <c r="I23">
        <v>15</v>
      </c>
      <c r="J23" s="27">
        <v>78481.299999999988</v>
      </c>
    </row>
    <row r="24" spans="1:12" x14ac:dyDescent="0.2">
      <c r="A24" s="25" t="s">
        <v>61</v>
      </c>
      <c r="B24">
        <v>26</v>
      </c>
      <c r="C24">
        <v>3</v>
      </c>
      <c r="D24">
        <v>6</v>
      </c>
      <c r="E24">
        <v>35</v>
      </c>
      <c r="H24" s="25" t="s">
        <v>308</v>
      </c>
      <c r="I24">
        <v>200</v>
      </c>
      <c r="J24" s="27">
        <v>1247031.3700000001</v>
      </c>
    </row>
    <row r="25" spans="1:12" x14ac:dyDescent="0.2">
      <c r="A25" s="25" t="s">
        <v>308</v>
      </c>
      <c r="B25">
        <v>118</v>
      </c>
      <c r="C25">
        <v>40</v>
      </c>
      <c r="D25">
        <v>42</v>
      </c>
      <c r="E25">
        <v>200</v>
      </c>
    </row>
    <row r="27" spans="1:12" x14ac:dyDescent="0.2">
      <c r="H27" s="34" t="s">
        <v>334</v>
      </c>
      <c r="I27" s="34"/>
      <c r="J27" s="34"/>
    </row>
    <row r="28" spans="1:12" x14ac:dyDescent="0.2">
      <c r="A28" s="34" t="s">
        <v>319</v>
      </c>
      <c r="B28" s="34"/>
      <c r="C28" s="34"/>
      <c r="D28" s="34"/>
      <c r="E28" s="34"/>
      <c r="H28" s="24" t="s">
        <v>307</v>
      </c>
      <c r="I28" t="s">
        <v>314</v>
      </c>
    </row>
    <row r="29" spans="1:12" x14ac:dyDescent="0.2">
      <c r="A29" s="24" t="s">
        <v>312</v>
      </c>
      <c r="B29" s="24" t="s">
        <v>311</v>
      </c>
      <c r="H29" s="25" t="s">
        <v>68</v>
      </c>
      <c r="I29" s="27">
        <v>74094.560000000012</v>
      </c>
    </row>
    <row r="30" spans="1:12" x14ac:dyDescent="0.2">
      <c r="A30" s="24" t="s">
        <v>307</v>
      </c>
      <c r="B30" t="s">
        <v>43</v>
      </c>
      <c r="C30" t="s">
        <v>51</v>
      </c>
      <c r="D30" t="s">
        <v>26</v>
      </c>
      <c r="E30" t="s">
        <v>308</v>
      </c>
      <c r="H30" s="25" t="s">
        <v>140</v>
      </c>
      <c r="I30" s="27">
        <v>48029.83</v>
      </c>
    </row>
    <row r="31" spans="1:12" x14ac:dyDescent="0.2">
      <c r="A31" s="25" t="s">
        <v>44</v>
      </c>
      <c r="B31">
        <v>62</v>
      </c>
      <c r="C31">
        <v>17</v>
      </c>
      <c r="D31">
        <v>15</v>
      </c>
      <c r="E31">
        <v>94</v>
      </c>
      <c r="H31" s="25" t="s">
        <v>29</v>
      </c>
      <c r="I31" s="27">
        <v>46841.200000000004</v>
      </c>
    </row>
    <row r="32" spans="1:12" x14ac:dyDescent="0.2">
      <c r="A32" s="25" t="s">
        <v>27</v>
      </c>
      <c r="B32">
        <v>56</v>
      </c>
      <c r="C32">
        <v>23</v>
      </c>
      <c r="D32">
        <v>27</v>
      </c>
      <c r="E32">
        <v>106</v>
      </c>
      <c r="H32" s="25" t="s">
        <v>120</v>
      </c>
      <c r="I32" s="27">
        <v>46479.320000000007</v>
      </c>
    </row>
    <row r="33" spans="1:9" x14ac:dyDescent="0.2">
      <c r="A33" s="25" t="s">
        <v>308</v>
      </c>
      <c r="B33">
        <v>118</v>
      </c>
      <c r="C33">
        <v>40</v>
      </c>
      <c r="D33">
        <v>42</v>
      </c>
      <c r="E33">
        <v>200</v>
      </c>
      <c r="H33" s="25" t="s">
        <v>18</v>
      </c>
      <c r="I33" s="27">
        <v>45831.11</v>
      </c>
    </row>
    <row r="34" spans="1:9" x14ac:dyDescent="0.2">
      <c r="H34" s="25" t="s">
        <v>57</v>
      </c>
      <c r="I34" s="27">
        <v>45043.74</v>
      </c>
    </row>
    <row r="35" spans="1:9" x14ac:dyDescent="0.2">
      <c r="H35" s="25" t="s">
        <v>198</v>
      </c>
      <c r="I35" s="27">
        <v>39246.32</v>
      </c>
    </row>
    <row r="36" spans="1:9" x14ac:dyDescent="0.2">
      <c r="H36" s="25" t="s">
        <v>98</v>
      </c>
      <c r="I36" s="27">
        <v>38580.589999999997</v>
      </c>
    </row>
    <row r="37" spans="1:9" x14ac:dyDescent="0.2">
      <c r="H37" s="25" t="s">
        <v>92</v>
      </c>
      <c r="I37" s="27">
        <v>37621.229999999996</v>
      </c>
    </row>
    <row r="38" spans="1:9" x14ac:dyDescent="0.2">
      <c r="H38" s="25" t="s">
        <v>94</v>
      </c>
      <c r="I38" s="27">
        <v>34204.22</v>
      </c>
    </row>
    <row r="39" spans="1:9" x14ac:dyDescent="0.2">
      <c r="H39" s="25" t="s">
        <v>308</v>
      </c>
      <c r="I39" s="27">
        <v>455972.12</v>
      </c>
    </row>
  </sheetData>
  <mergeCells count="7">
    <mergeCell ref="L2:N2"/>
    <mergeCell ref="A2:B2"/>
    <mergeCell ref="A12:E12"/>
    <mergeCell ref="H2:I2"/>
    <mergeCell ref="A28:E28"/>
    <mergeCell ref="H10:J10"/>
    <mergeCell ref="H27:J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9CD6-C03B-1648-B654-EC74DC8FFB90}">
  <dimension ref="A1:S201"/>
  <sheetViews>
    <sheetView topLeftCell="A2" workbookViewId="0">
      <selection activeCell="E27" sqref="A2:S201"/>
    </sheetView>
  </sheetViews>
  <sheetFormatPr baseColWidth="10" defaultRowHeight="16" x14ac:dyDescent="0.2"/>
  <cols>
    <col min="2" max="2" width="12.1640625" customWidth="1"/>
    <col min="6" max="6" width="12.6640625" customWidth="1"/>
    <col min="7" max="7" width="17.83203125" customWidth="1"/>
    <col min="8" max="8" width="15" customWidth="1"/>
    <col min="9" max="10" width="14" style="23" customWidth="1"/>
    <col min="11" max="11" width="13.5" customWidth="1"/>
    <col min="12" max="12" width="14.33203125" customWidth="1"/>
    <col min="13" max="13" width="17.33203125" customWidth="1"/>
    <col min="14" max="14" width="19.1640625" customWidth="1"/>
    <col min="15" max="15" width="21.5" customWidth="1"/>
    <col min="16" max="16" width="16.33203125" customWidth="1"/>
    <col min="17" max="17" width="13.83203125" customWidth="1"/>
    <col min="18" max="18" width="19.5" customWidth="1"/>
    <col min="19" max="19" width="10.83203125" style="32"/>
  </cols>
  <sheetData>
    <row r="1" spans="1:19" ht="28" x14ac:dyDescent="0.2">
      <c r="A1" s="11" t="s">
        <v>0</v>
      </c>
      <c r="B1" s="12" t="s">
        <v>1</v>
      </c>
      <c r="C1" s="12" t="s">
        <v>2</v>
      </c>
      <c r="D1" s="12" t="s">
        <v>3</v>
      </c>
      <c r="E1" s="12" t="s">
        <v>4</v>
      </c>
      <c r="F1" s="12" t="s">
        <v>5</v>
      </c>
      <c r="G1" s="12" t="s">
        <v>6</v>
      </c>
      <c r="H1" s="12" t="s">
        <v>7</v>
      </c>
      <c r="I1" s="19" t="s">
        <v>8</v>
      </c>
      <c r="J1" s="19" t="s">
        <v>320</v>
      </c>
      <c r="K1" s="12" t="s">
        <v>9</v>
      </c>
      <c r="L1" s="12" t="s">
        <v>10</v>
      </c>
      <c r="M1" s="12" t="s">
        <v>11</v>
      </c>
      <c r="N1" s="12" t="s">
        <v>12</v>
      </c>
      <c r="O1" s="12" t="s">
        <v>13</v>
      </c>
      <c r="P1" s="12" t="s">
        <v>14</v>
      </c>
      <c r="Q1" s="12" t="s">
        <v>15</v>
      </c>
      <c r="R1" s="13" t="s">
        <v>16</v>
      </c>
      <c r="S1" s="28" t="s">
        <v>316</v>
      </c>
    </row>
    <row r="2" spans="1:19" x14ac:dyDescent="0.2">
      <c r="A2" s="7" t="s">
        <v>17</v>
      </c>
      <c r="B2" s="1" t="s">
        <v>18</v>
      </c>
      <c r="C2" s="2">
        <v>62</v>
      </c>
      <c r="D2" s="1" t="s">
        <v>19</v>
      </c>
      <c r="E2" s="1" t="s">
        <v>20</v>
      </c>
      <c r="F2" s="1" t="s">
        <v>21</v>
      </c>
      <c r="G2" s="1" t="s">
        <v>22</v>
      </c>
      <c r="H2" s="1" t="s">
        <v>23</v>
      </c>
      <c r="I2" s="20">
        <v>45627</v>
      </c>
      <c r="J2" s="20" t="str">
        <f>TEXT(Claims_data[[#This Row],[Service Date]],"mmm")</f>
        <v>Dec</v>
      </c>
      <c r="K2" s="1" t="s">
        <v>24</v>
      </c>
      <c r="L2" s="1" t="s">
        <v>25</v>
      </c>
      <c r="M2" s="3">
        <v>3409.1</v>
      </c>
      <c r="N2" s="3">
        <v>2103.29</v>
      </c>
      <c r="O2" s="3">
        <v>115.74</v>
      </c>
      <c r="P2" s="3">
        <v>1987.55</v>
      </c>
      <c r="Q2" s="1" t="s">
        <v>26</v>
      </c>
      <c r="R2" s="9" t="s">
        <v>27</v>
      </c>
      <c r="S2" s="29">
        <f>(Claims_data[[#This Row],[Billed Amount ($)]]-Claims_data[[#This Row],[Paid Amount ($)]])/Claims_data[[#This Row],[Billed Amount ($)]]</f>
        <v>0.41698688803496525</v>
      </c>
    </row>
    <row r="3" spans="1:19" x14ac:dyDescent="0.2">
      <c r="A3" s="8" t="s">
        <v>28</v>
      </c>
      <c r="B3" s="4" t="s">
        <v>29</v>
      </c>
      <c r="C3" s="5">
        <v>39</v>
      </c>
      <c r="D3" s="4" t="s">
        <v>19</v>
      </c>
      <c r="E3" s="4" t="s">
        <v>30</v>
      </c>
      <c r="F3" s="4" t="s">
        <v>31</v>
      </c>
      <c r="G3" s="4" t="s">
        <v>32</v>
      </c>
      <c r="H3" s="4" t="s">
        <v>33</v>
      </c>
      <c r="I3" s="21">
        <v>45544</v>
      </c>
      <c r="J3" s="21" t="str">
        <f>TEXT(Claims_data[[#This Row],[Service Date]],"mmm")</f>
        <v>Sep</v>
      </c>
      <c r="K3" s="4" t="s">
        <v>34</v>
      </c>
      <c r="L3" s="4" t="s">
        <v>35</v>
      </c>
      <c r="M3" s="6">
        <v>7283.92</v>
      </c>
      <c r="N3" s="6">
        <v>5232.58</v>
      </c>
      <c r="O3" s="6">
        <v>113.08</v>
      </c>
      <c r="P3" s="6">
        <v>5119.5</v>
      </c>
      <c r="Q3" s="4" t="s">
        <v>26</v>
      </c>
      <c r="R3" s="10" t="s">
        <v>27</v>
      </c>
      <c r="S3" s="30">
        <f>(Claims_data[[#This Row],[Billed Amount ($)]]-Claims_data[[#This Row],[Paid Amount ($)]])/Claims_data[[#This Row],[Billed Amount ($)]]</f>
        <v>0.29715043547979658</v>
      </c>
    </row>
    <row r="4" spans="1:19" x14ac:dyDescent="0.2">
      <c r="A4" s="7" t="s">
        <v>36</v>
      </c>
      <c r="B4" s="1" t="s">
        <v>18</v>
      </c>
      <c r="C4" s="2">
        <v>49</v>
      </c>
      <c r="D4" s="1" t="s">
        <v>37</v>
      </c>
      <c r="E4" s="1" t="s">
        <v>38</v>
      </c>
      <c r="F4" s="1" t="s">
        <v>39</v>
      </c>
      <c r="G4" s="1" t="s">
        <v>40</v>
      </c>
      <c r="H4" s="1" t="s">
        <v>33</v>
      </c>
      <c r="I4" s="20">
        <v>45471</v>
      </c>
      <c r="J4" s="20" t="str">
        <f>TEXT(Claims_data[[#This Row],[Service Date]],"mmm")</f>
        <v>Jun</v>
      </c>
      <c r="K4" s="1" t="s">
        <v>41</v>
      </c>
      <c r="L4" s="1" t="s">
        <v>42</v>
      </c>
      <c r="M4" s="3">
        <v>3442.78</v>
      </c>
      <c r="N4" s="3">
        <v>2115.91</v>
      </c>
      <c r="O4" s="3">
        <v>119.25</v>
      </c>
      <c r="P4" s="3">
        <v>1996.66</v>
      </c>
      <c r="Q4" s="1" t="s">
        <v>43</v>
      </c>
      <c r="R4" s="9" t="s">
        <v>44</v>
      </c>
      <c r="S4" s="30">
        <f>(Claims_data[[#This Row],[Billed Amount ($)]]-Claims_data[[#This Row],[Paid Amount ($)]])/Claims_data[[#This Row],[Billed Amount ($)]]</f>
        <v>0.42004426655203064</v>
      </c>
    </row>
    <row r="5" spans="1:19" x14ac:dyDescent="0.2">
      <c r="A5" s="8" t="s">
        <v>45</v>
      </c>
      <c r="B5" s="4" t="s">
        <v>18</v>
      </c>
      <c r="C5" s="5">
        <v>60</v>
      </c>
      <c r="D5" s="4" t="s">
        <v>19</v>
      </c>
      <c r="E5" s="4" t="s">
        <v>30</v>
      </c>
      <c r="F5" s="4" t="s">
        <v>46</v>
      </c>
      <c r="G5" s="4" t="s">
        <v>47</v>
      </c>
      <c r="H5" s="4" t="s">
        <v>48</v>
      </c>
      <c r="I5" s="21">
        <v>45311</v>
      </c>
      <c r="J5" s="21" t="str">
        <f>TEXT(Claims_data[[#This Row],[Service Date]],"mmm")</f>
        <v>Jan</v>
      </c>
      <c r="K5" s="4" t="s">
        <v>49</v>
      </c>
      <c r="L5" s="4" t="s">
        <v>50</v>
      </c>
      <c r="M5" s="6">
        <v>8797.32</v>
      </c>
      <c r="N5" s="6">
        <v>6253.74</v>
      </c>
      <c r="O5" s="6">
        <v>146.51</v>
      </c>
      <c r="P5" s="6">
        <v>0</v>
      </c>
      <c r="Q5" s="4" t="s">
        <v>51</v>
      </c>
      <c r="R5" s="10" t="s">
        <v>44</v>
      </c>
      <c r="S5" s="30">
        <f>(Claims_data[[#This Row],[Billed Amount ($)]]-Claims_data[[#This Row],[Paid Amount ($)]])/Claims_data[[#This Row],[Billed Amount ($)]]</f>
        <v>1</v>
      </c>
    </row>
    <row r="6" spans="1:19" x14ac:dyDescent="0.2">
      <c r="A6" s="7" t="s">
        <v>52</v>
      </c>
      <c r="B6" s="1" t="s">
        <v>53</v>
      </c>
      <c r="C6" s="2">
        <v>31</v>
      </c>
      <c r="D6" s="1" t="s">
        <v>19</v>
      </c>
      <c r="E6" s="1" t="s">
        <v>38</v>
      </c>
      <c r="F6" s="1" t="s">
        <v>31</v>
      </c>
      <c r="G6" s="1" t="s">
        <v>32</v>
      </c>
      <c r="H6" s="1" t="s">
        <v>33</v>
      </c>
      <c r="I6" s="20">
        <v>45641</v>
      </c>
      <c r="J6" s="20" t="str">
        <f>TEXT(Claims_data[[#This Row],[Service Date]],"mmm")</f>
        <v>Dec</v>
      </c>
      <c r="K6" s="1" t="s">
        <v>49</v>
      </c>
      <c r="L6" s="1" t="s">
        <v>50</v>
      </c>
      <c r="M6" s="3">
        <v>974.23</v>
      </c>
      <c r="N6" s="3">
        <v>729.09</v>
      </c>
      <c r="O6" s="3">
        <v>120.5</v>
      </c>
      <c r="P6" s="3">
        <v>608.59</v>
      </c>
      <c r="Q6" s="1" t="s">
        <v>43</v>
      </c>
      <c r="R6" s="9" t="s">
        <v>44</v>
      </c>
      <c r="S6" s="30">
        <f>(Claims_data[[#This Row],[Billed Amount ($)]]-Claims_data[[#This Row],[Paid Amount ($)]])/Claims_data[[#This Row],[Billed Amount ($)]]</f>
        <v>0.37531178469149995</v>
      </c>
    </row>
    <row r="7" spans="1:19" x14ac:dyDescent="0.2">
      <c r="A7" s="8" t="s">
        <v>54</v>
      </c>
      <c r="B7" s="4" t="s">
        <v>55</v>
      </c>
      <c r="C7" s="5">
        <v>65</v>
      </c>
      <c r="D7" s="4" t="s">
        <v>37</v>
      </c>
      <c r="E7" s="4" t="s">
        <v>30</v>
      </c>
      <c r="F7" s="4" t="s">
        <v>46</v>
      </c>
      <c r="G7" s="4" t="s">
        <v>47</v>
      </c>
      <c r="H7" s="4" t="s">
        <v>48</v>
      </c>
      <c r="I7" s="21">
        <v>45467</v>
      </c>
      <c r="J7" s="21" t="str">
        <f>TEXT(Claims_data[[#This Row],[Service Date]],"mmm")</f>
        <v>Jun</v>
      </c>
      <c r="K7" s="4" t="s">
        <v>41</v>
      </c>
      <c r="L7" s="4" t="s">
        <v>42</v>
      </c>
      <c r="M7" s="6">
        <v>2632.66</v>
      </c>
      <c r="N7" s="6">
        <v>1658.82</v>
      </c>
      <c r="O7" s="6">
        <v>141.77000000000001</v>
      </c>
      <c r="P7" s="6">
        <v>1517.05</v>
      </c>
      <c r="Q7" s="4" t="s">
        <v>43</v>
      </c>
      <c r="R7" s="10" t="s">
        <v>27</v>
      </c>
      <c r="S7" s="30">
        <f>(Claims_data[[#This Row],[Billed Amount ($)]]-Claims_data[[#This Row],[Paid Amount ($)]])/Claims_data[[#This Row],[Billed Amount ($)]]</f>
        <v>0.42375772032848902</v>
      </c>
    </row>
    <row r="8" spans="1:19" x14ac:dyDescent="0.2">
      <c r="A8" s="7" t="s">
        <v>56</v>
      </c>
      <c r="B8" s="1" t="s">
        <v>57</v>
      </c>
      <c r="C8" s="2">
        <v>45</v>
      </c>
      <c r="D8" s="1" t="s">
        <v>37</v>
      </c>
      <c r="E8" s="1" t="s">
        <v>20</v>
      </c>
      <c r="F8" s="1" t="s">
        <v>39</v>
      </c>
      <c r="G8" s="1" t="s">
        <v>40</v>
      </c>
      <c r="H8" s="1" t="s">
        <v>33</v>
      </c>
      <c r="I8" s="20">
        <v>45500</v>
      </c>
      <c r="J8" s="20" t="str">
        <f>TEXT(Claims_data[[#This Row],[Service Date]],"mmm")</f>
        <v>Jul</v>
      </c>
      <c r="K8" s="1" t="s">
        <v>41</v>
      </c>
      <c r="L8" s="1" t="s">
        <v>42</v>
      </c>
      <c r="M8" s="3">
        <v>3348.88</v>
      </c>
      <c r="N8" s="3">
        <v>2771.59</v>
      </c>
      <c r="O8" s="3">
        <v>109.46</v>
      </c>
      <c r="P8" s="3">
        <v>2662.13</v>
      </c>
      <c r="Q8" s="1" t="s">
        <v>43</v>
      </c>
      <c r="R8" s="9" t="s">
        <v>27</v>
      </c>
      <c r="S8" s="30">
        <f>(Claims_data[[#This Row],[Billed Amount ($)]]-Claims_data[[#This Row],[Paid Amount ($)]])/Claims_data[[#This Row],[Billed Amount ($)]]</f>
        <v>0.20506856023506365</v>
      </c>
    </row>
    <row r="9" spans="1:19" x14ac:dyDescent="0.2">
      <c r="A9" s="8" t="s">
        <v>58</v>
      </c>
      <c r="B9" s="4" t="s">
        <v>59</v>
      </c>
      <c r="C9" s="5">
        <v>66</v>
      </c>
      <c r="D9" s="4" t="s">
        <v>19</v>
      </c>
      <c r="E9" s="4" t="s">
        <v>38</v>
      </c>
      <c r="F9" s="4" t="s">
        <v>39</v>
      </c>
      <c r="G9" s="4" t="s">
        <v>40</v>
      </c>
      <c r="H9" s="4" t="s">
        <v>33</v>
      </c>
      <c r="I9" s="21">
        <v>45433</v>
      </c>
      <c r="J9" s="21" t="str">
        <f>TEXT(Claims_data[[#This Row],[Service Date]],"mmm")</f>
        <v>May</v>
      </c>
      <c r="K9" s="4" t="s">
        <v>60</v>
      </c>
      <c r="L9" s="4" t="s">
        <v>61</v>
      </c>
      <c r="M9" s="6">
        <v>934.33</v>
      </c>
      <c r="N9" s="6">
        <v>769.83</v>
      </c>
      <c r="O9" s="6">
        <v>93.73</v>
      </c>
      <c r="P9" s="6">
        <v>676.1</v>
      </c>
      <c r="Q9" s="4" t="s">
        <v>43</v>
      </c>
      <c r="R9" s="10" t="s">
        <v>44</v>
      </c>
      <c r="S9" s="30">
        <f>(Claims_data[[#This Row],[Billed Amount ($)]]-Claims_data[[#This Row],[Paid Amount ($)]])/Claims_data[[#This Row],[Billed Amount ($)]]</f>
        <v>0.27637986578617835</v>
      </c>
    </row>
    <row r="10" spans="1:19" x14ac:dyDescent="0.2">
      <c r="A10" s="7" t="s">
        <v>62</v>
      </c>
      <c r="B10" s="1" t="s">
        <v>63</v>
      </c>
      <c r="C10" s="2">
        <v>62</v>
      </c>
      <c r="D10" s="1" t="s">
        <v>19</v>
      </c>
      <c r="E10" s="1" t="s">
        <v>38</v>
      </c>
      <c r="F10" s="1" t="s">
        <v>46</v>
      </c>
      <c r="G10" s="1" t="s">
        <v>47</v>
      </c>
      <c r="H10" s="1" t="s">
        <v>48</v>
      </c>
      <c r="I10" s="20">
        <v>45359</v>
      </c>
      <c r="J10" s="20" t="str">
        <f>TEXT(Claims_data[[#This Row],[Service Date]],"mmm")</f>
        <v>Mar</v>
      </c>
      <c r="K10" s="1" t="s">
        <v>41</v>
      </c>
      <c r="L10" s="1" t="s">
        <v>42</v>
      </c>
      <c r="M10" s="3">
        <v>3072.54</v>
      </c>
      <c r="N10" s="3">
        <v>2207.34</v>
      </c>
      <c r="O10" s="3">
        <v>54.16</v>
      </c>
      <c r="P10" s="3">
        <v>2153.1799999999998</v>
      </c>
      <c r="Q10" s="1" t="s">
        <v>26</v>
      </c>
      <c r="R10" s="9" t="s">
        <v>27</v>
      </c>
      <c r="S10" s="30">
        <f>(Claims_data[[#This Row],[Billed Amount ($)]]-Claims_data[[#This Row],[Paid Amount ($)]])/Claims_data[[#This Row],[Billed Amount ($)]]</f>
        <v>0.2992182363777201</v>
      </c>
    </row>
    <row r="11" spans="1:19" x14ac:dyDescent="0.2">
      <c r="A11" s="8" t="s">
        <v>64</v>
      </c>
      <c r="B11" s="4" t="s">
        <v>57</v>
      </c>
      <c r="C11" s="5">
        <v>52</v>
      </c>
      <c r="D11" s="4" t="s">
        <v>37</v>
      </c>
      <c r="E11" s="4" t="s">
        <v>38</v>
      </c>
      <c r="F11" s="4" t="s">
        <v>39</v>
      </c>
      <c r="G11" s="4" t="s">
        <v>40</v>
      </c>
      <c r="H11" s="4" t="s">
        <v>33</v>
      </c>
      <c r="I11" s="21">
        <v>45335</v>
      </c>
      <c r="J11" s="21" t="str">
        <f>TEXT(Claims_data[[#This Row],[Service Date]],"mmm")</f>
        <v>Feb</v>
      </c>
      <c r="K11" s="4" t="s">
        <v>65</v>
      </c>
      <c r="L11" s="4" t="s">
        <v>66</v>
      </c>
      <c r="M11" s="6">
        <v>9106.02</v>
      </c>
      <c r="N11" s="6">
        <v>7360.68</v>
      </c>
      <c r="O11" s="6">
        <v>39.869999999999997</v>
      </c>
      <c r="P11" s="6">
        <v>7320.81</v>
      </c>
      <c r="Q11" s="4" t="s">
        <v>43</v>
      </c>
      <c r="R11" s="10" t="s">
        <v>44</v>
      </c>
      <c r="S11" s="30">
        <f>(Claims_data[[#This Row],[Billed Amount ($)]]-Claims_data[[#This Row],[Paid Amount ($)]])/Claims_data[[#This Row],[Billed Amount ($)]]</f>
        <v>0.19604723029380564</v>
      </c>
    </row>
    <row r="12" spans="1:19" x14ac:dyDescent="0.2">
      <c r="A12" s="7" t="s">
        <v>67</v>
      </c>
      <c r="B12" s="1" t="s">
        <v>68</v>
      </c>
      <c r="C12" s="2">
        <v>42</v>
      </c>
      <c r="D12" s="1" t="s">
        <v>19</v>
      </c>
      <c r="E12" s="1" t="s">
        <v>20</v>
      </c>
      <c r="F12" s="1" t="s">
        <v>46</v>
      </c>
      <c r="G12" s="1" t="s">
        <v>47</v>
      </c>
      <c r="H12" s="1" t="s">
        <v>48</v>
      </c>
      <c r="I12" s="20">
        <v>45545</v>
      </c>
      <c r="J12" s="20" t="str">
        <f>TEXT(Claims_data[[#This Row],[Service Date]],"mmm")</f>
        <v>Sep</v>
      </c>
      <c r="K12" s="1" t="s">
        <v>65</v>
      </c>
      <c r="L12" s="1" t="s">
        <v>66</v>
      </c>
      <c r="M12" s="3">
        <v>10350.24</v>
      </c>
      <c r="N12" s="3">
        <v>5728.28</v>
      </c>
      <c r="O12" s="3">
        <v>113.69</v>
      </c>
      <c r="P12" s="3">
        <v>5614.59</v>
      </c>
      <c r="Q12" s="1" t="s">
        <v>26</v>
      </c>
      <c r="R12" s="9" t="s">
        <v>44</v>
      </c>
      <c r="S12" s="30">
        <f>(Claims_data[[#This Row],[Billed Amount ($)]]-Claims_data[[#This Row],[Paid Amount ($)]])/Claims_data[[#This Row],[Billed Amount ($)]]</f>
        <v>0.45754011501182579</v>
      </c>
    </row>
    <row r="13" spans="1:19" x14ac:dyDescent="0.2">
      <c r="A13" s="8" t="s">
        <v>69</v>
      </c>
      <c r="B13" s="4" t="s">
        <v>68</v>
      </c>
      <c r="C13" s="5">
        <v>36</v>
      </c>
      <c r="D13" s="4" t="s">
        <v>37</v>
      </c>
      <c r="E13" s="4" t="s">
        <v>30</v>
      </c>
      <c r="F13" s="4" t="s">
        <v>39</v>
      </c>
      <c r="G13" s="4" t="s">
        <v>40</v>
      </c>
      <c r="H13" s="4" t="s">
        <v>33</v>
      </c>
      <c r="I13" s="21">
        <v>45301</v>
      </c>
      <c r="J13" s="21" t="str">
        <f>TEXT(Claims_data[[#This Row],[Service Date]],"mmm")</f>
        <v>Jan</v>
      </c>
      <c r="K13" s="4" t="s">
        <v>41</v>
      </c>
      <c r="L13" s="4" t="s">
        <v>42</v>
      </c>
      <c r="M13" s="6">
        <v>11452.72</v>
      </c>
      <c r="N13" s="6">
        <v>9308.27</v>
      </c>
      <c r="O13" s="6">
        <v>54.24</v>
      </c>
      <c r="P13" s="6">
        <v>9254.0300000000007</v>
      </c>
      <c r="Q13" s="4" t="s">
        <v>26</v>
      </c>
      <c r="R13" s="10" t="s">
        <v>27</v>
      </c>
      <c r="S13" s="30">
        <f>(Claims_data[[#This Row],[Billed Amount ($)]]-Claims_data[[#This Row],[Paid Amount ($)]])/Claims_data[[#This Row],[Billed Amount ($)]]</f>
        <v>0.19197972184773562</v>
      </c>
    </row>
    <row r="14" spans="1:19" x14ac:dyDescent="0.2">
      <c r="A14" s="7" t="s">
        <v>70</v>
      </c>
      <c r="B14" s="1" t="s">
        <v>55</v>
      </c>
      <c r="C14" s="2">
        <v>45</v>
      </c>
      <c r="D14" s="1" t="s">
        <v>19</v>
      </c>
      <c r="E14" s="1" t="s">
        <v>20</v>
      </c>
      <c r="F14" s="1" t="s">
        <v>46</v>
      </c>
      <c r="G14" s="1" t="s">
        <v>47</v>
      </c>
      <c r="H14" s="1" t="s">
        <v>48</v>
      </c>
      <c r="I14" s="20">
        <v>45355</v>
      </c>
      <c r="J14" s="20" t="str">
        <f>TEXT(Claims_data[[#This Row],[Service Date]],"mmm")</f>
        <v>Mar</v>
      </c>
      <c r="K14" s="1" t="s">
        <v>41</v>
      </c>
      <c r="L14" s="1" t="s">
        <v>42</v>
      </c>
      <c r="M14" s="3">
        <v>6541.64</v>
      </c>
      <c r="N14" s="3">
        <v>5125.95</v>
      </c>
      <c r="O14" s="3">
        <v>88.95</v>
      </c>
      <c r="P14" s="3">
        <v>5037</v>
      </c>
      <c r="Q14" s="1" t="s">
        <v>43</v>
      </c>
      <c r="R14" s="9" t="s">
        <v>44</v>
      </c>
      <c r="S14" s="30">
        <f>(Claims_data[[#This Row],[Billed Amount ($)]]-Claims_data[[#This Row],[Paid Amount ($)]])/Claims_data[[#This Row],[Billed Amount ($)]]</f>
        <v>0.23000960003913395</v>
      </c>
    </row>
    <row r="15" spans="1:19" x14ac:dyDescent="0.2">
      <c r="A15" s="8" t="s">
        <v>71</v>
      </c>
      <c r="B15" s="4" t="s">
        <v>72</v>
      </c>
      <c r="C15" s="5">
        <v>73</v>
      </c>
      <c r="D15" s="4" t="s">
        <v>37</v>
      </c>
      <c r="E15" s="4" t="s">
        <v>20</v>
      </c>
      <c r="F15" s="4" t="s">
        <v>31</v>
      </c>
      <c r="G15" s="4" t="s">
        <v>32</v>
      </c>
      <c r="H15" s="4" t="s">
        <v>33</v>
      </c>
      <c r="I15" s="21">
        <v>45313</v>
      </c>
      <c r="J15" s="21" t="str">
        <f>TEXT(Claims_data[[#This Row],[Service Date]],"mmm")</f>
        <v>Jan</v>
      </c>
      <c r="K15" s="4" t="s">
        <v>73</v>
      </c>
      <c r="L15" s="4" t="s">
        <v>74</v>
      </c>
      <c r="M15" s="6">
        <v>3004.33</v>
      </c>
      <c r="N15" s="6">
        <v>2163.7399999999998</v>
      </c>
      <c r="O15" s="6">
        <v>30.24</v>
      </c>
      <c r="P15" s="6">
        <v>0</v>
      </c>
      <c r="Q15" s="4" t="s">
        <v>51</v>
      </c>
      <c r="R15" s="10" t="s">
        <v>44</v>
      </c>
      <c r="S15" s="30">
        <f>(Claims_data[[#This Row],[Billed Amount ($)]]-Claims_data[[#This Row],[Paid Amount ($)]])/Claims_data[[#This Row],[Billed Amount ($)]]</f>
        <v>1</v>
      </c>
    </row>
    <row r="16" spans="1:19" x14ac:dyDescent="0.2">
      <c r="A16" s="7" t="s">
        <v>75</v>
      </c>
      <c r="B16" s="1" t="s">
        <v>68</v>
      </c>
      <c r="C16" s="2">
        <v>71</v>
      </c>
      <c r="D16" s="1" t="s">
        <v>37</v>
      </c>
      <c r="E16" s="1" t="s">
        <v>30</v>
      </c>
      <c r="F16" s="1" t="s">
        <v>31</v>
      </c>
      <c r="G16" s="1" t="s">
        <v>32</v>
      </c>
      <c r="H16" s="1" t="s">
        <v>33</v>
      </c>
      <c r="I16" s="20">
        <v>45422</v>
      </c>
      <c r="J16" s="20" t="str">
        <f>TEXT(Claims_data[[#This Row],[Service Date]],"mmm")</f>
        <v>May</v>
      </c>
      <c r="K16" s="1" t="s">
        <v>65</v>
      </c>
      <c r="L16" s="1" t="s">
        <v>66</v>
      </c>
      <c r="M16" s="3">
        <v>6402.93</v>
      </c>
      <c r="N16" s="3">
        <v>4686.8100000000004</v>
      </c>
      <c r="O16" s="3">
        <v>145.37</v>
      </c>
      <c r="P16" s="3">
        <v>4541.4399999999996</v>
      </c>
      <c r="Q16" s="1" t="s">
        <v>26</v>
      </c>
      <c r="R16" s="9" t="s">
        <v>44</v>
      </c>
      <c r="S16" s="30">
        <f>(Claims_data[[#This Row],[Billed Amount ($)]]-Claims_data[[#This Row],[Paid Amount ($)]])/Claims_data[[#This Row],[Billed Amount ($)]]</f>
        <v>0.29072471509137232</v>
      </c>
    </row>
    <row r="17" spans="1:19" x14ac:dyDescent="0.2">
      <c r="A17" s="8" t="s">
        <v>76</v>
      </c>
      <c r="B17" s="4" t="s">
        <v>77</v>
      </c>
      <c r="C17" s="5">
        <v>60</v>
      </c>
      <c r="D17" s="4" t="s">
        <v>37</v>
      </c>
      <c r="E17" s="4" t="s">
        <v>30</v>
      </c>
      <c r="F17" s="4" t="s">
        <v>39</v>
      </c>
      <c r="G17" s="4" t="s">
        <v>40</v>
      </c>
      <c r="H17" s="4" t="s">
        <v>33</v>
      </c>
      <c r="I17" s="21">
        <v>45543</v>
      </c>
      <c r="J17" s="21" t="str">
        <f>TEXT(Claims_data[[#This Row],[Service Date]],"mmm")</f>
        <v>Sep</v>
      </c>
      <c r="K17" s="4" t="s">
        <v>60</v>
      </c>
      <c r="L17" s="4" t="s">
        <v>61</v>
      </c>
      <c r="M17" s="6">
        <v>5500.11</v>
      </c>
      <c r="N17" s="6">
        <v>3434.11</v>
      </c>
      <c r="O17" s="6">
        <v>28.32</v>
      </c>
      <c r="P17" s="6">
        <v>3405.79</v>
      </c>
      <c r="Q17" s="4" t="s">
        <v>43</v>
      </c>
      <c r="R17" s="10" t="s">
        <v>27</v>
      </c>
      <c r="S17" s="30">
        <f>(Claims_data[[#This Row],[Billed Amount ($)]]-Claims_data[[#This Row],[Paid Amount ($)]])/Claims_data[[#This Row],[Billed Amount ($)]]</f>
        <v>0.38077783898867473</v>
      </c>
    </row>
    <row r="18" spans="1:19" x14ac:dyDescent="0.2">
      <c r="A18" s="7" t="s">
        <v>78</v>
      </c>
      <c r="B18" s="1" t="s">
        <v>79</v>
      </c>
      <c r="C18" s="2">
        <v>42</v>
      </c>
      <c r="D18" s="1" t="s">
        <v>19</v>
      </c>
      <c r="E18" s="1" t="s">
        <v>20</v>
      </c>
      <c r="F18" s="1" t="s">
        <v>21</v>
      </c>
      <c r="G18" s="1" t="s">
        <v>22</v>
      </c>
      <c r="H18" s="1" t="s">
        <v>23</v>
      </c>
      <c r="I18" s="20">
        <v>45400</v>
      </c>
      <c r="J18" s="20" t="str">
        <f>TEXT(Claims_data[[#This Row],[Service Date]],"mmm")</f>
        <v>Apr</v>
      </c>
      <c r="K18" s="1" t="s">
        <v>24</v>
      </c>
      <c r="L18" s="1" t="s">
        <v>25</v>
      </c>
      <c r="M18" s="3">
        <v>948.69</v>
      </c>
      <c r="N18" s="3">
        <v>530.72</v>
      </c>
      <c r="O18" s="3">
        <v>62.96</v>
      </c>
      <c r="P18" s="3">
        <v>467.76</v>
      </c>
      <c r="Q18" s="1" t="s">
        <v>26</v>
      </c>
      <c r="R18" s="9" t="s">
        <v>27</v>
      </c>
      <c r="S18" s="30">
        <f>(Claims_data[[#This Row],[Billed Amount ($)]]-Claims_data[[#This Row],[Paid Amount ($)]])/Claims_data[[#This Row],[Billed Amount ($)]]</f>
        <v>0.50694115042848564</v>
      </c>
    </row>
    <row r="19" spans="1:19" x14ac:dyDescent="0.2">
      <c r="A19" s="8" t="s">
        <v>80</v>
      </c>
      <c r="B19" s="4" t="s">
        <v>81</v>
      </c>
      <c r="C19" s="5">
        <v>67</v>
      </c>
      <c r="D19" s="4" t="s">
        <v>19</v>
      </c>
      <c r="E19" s="4" t="s">
        <v>38</v>
      </c>
      <c r="F19" s="4" t="s">
        <v>82</v>
      </c>
      <c r="G19" s="4" t="s">
        <v>83</v>
      </c>
      <c r="H19" s="4" t="s">
        <v>33</v>
      </c>
      <c r="I19" s="21">
        <v>45518</v>
      </c>
      <c r="J19" s="21" t="str">
        <f>TEXT(Claims_data[[#This Row],[Service Date]],"mmm")</f>
        <v>Aug</v>
      </c>
      <c r="K19" s="4" t="s">
        <v>49</v>
      </c>
      <c r="L19" s="4" t="s">
        <v>50</v>
      </c>
      <c r="M19" s="6">
        <v>3029.52</v>
      </c>
      <c r="N19" s="6">
        <v>2096.1</v>
      </c>
      <c r="O19" s="6">
        <v>72.92</v>
      </c>
      <c r="P19" s="6">
        <v>2023.18</v>
      </c>
      <c r="Q19" s="4" t="s">
        <v>43</v>
      </c>
      <c r="R19" s="10" t="s">
        <v>44</v>
      </c>
      <c r="S19" s="30">
        <f>(Claims_data[[#This Row],[Billed Amount ($)]]-Claims_data[[#This Row],[Paid Amount ($)]])/Claims_data[[#This Row],[Billed Amount ($)]]</f>
        <v>0.33217803480419339</v>
      </c>
    </row>
    <row r="20" spans="1:19" x14ac:dyDescent="0.2">
      <c r="A20" s="7" t="s">
        <v>84</v>
      </c>
      <c r="B20" s="1" t="s">
        <v>81</v>
      </c>
      <c r="C20" s="2">
        <v>40</v>
      </c>
      <c r="D20" s="1" t="s">
        <v>37</v>
      </c>
      <c r="E20" s="1" t="s">
        <v>20</v>
      </c>
      <c r="F20" s="1" t="s">
        <v>21</v>
      </c>
      <c r="G20" s="1" t="s">
        <v>22</v>
      </c>
      <c r="H20" s="1" t="s">
        <v>23</v>
      </c>
      <c r="I20" s="20">
        <v>45614</v>
      </c>
      <c r="J20" s="20" t="str">
        <f>TEXT(Claims_data[[#This Row],[Service Date]],"mmm")</f>
        <v>Nov</v>
      </c>
      <c r="K20" s="1" t="s">
        <v>85</v>
      </c>
      <c r="L20" s="1" t="s">
        <v>86</v>
      </c>
      <c r="M20" s="3">
        <v>7893.45</v>
      </c>
      <c r="N20" s="3">
        <v>5871.57</v>
      </c>
      <c r="O20" s="3">
        <v>27.88</v>
      </c>
      <c r="P20" s="3">
        <v>5843.69</v>
      </c>
      <c r="Q20" s="1" t="s">
        <v>43</v>
      </c>
      <c r="R20" s="9" t="s">
        <v>44</v>
      </c>
      <c r="S20" s="30">
        <f>(Claims_data[[#This Row],[Billed Amount ($)]]-Claims_data[[#This Row],[Paid Amount ($)]])/Claims_data[[#This Row],[Billed Amount ($)]]</f>
        <v>0.25967859427753393</v>
      </c>
    </row>
    <row r="21" spans="1:19" x14ac:dyDescent="0.2">
      <c r="A21" s="8" t="s">
        <v>87</v>
      </c>
      <c r="B21" s="4" t="s">
        <v>88</v>
      </c>
      <c r="C21" s="5">
        <v>31</v>
      </c>
      <c r="D21" s="4" t="s">
        <v>37</v>
      </c>
      <c r="E21" s="4" t="s">
        <v>30</v>
      </c>
      <c r="F21" s="4" t="s">
        <v>39</v>
      </c>
      <c r="G21" s="4" t="s">
        <v>40</v>
      </c>
      <c r="H21" s="4" t="s">
        <v>33</v>
      </c>
      <c r="I21" s="21">
        <v>45369</v>
      </c>
      <c r="J21" s="21" t="str">
        <f>TEXT(Claims_data[[#This Row],[Service Date]],"mmm")</f>
        <v>Mar</v>
      </c>
      <c r="K21" s="4" t="s">
        <v>41</v>
      </c>
      <c r="L21" s="4" t="s">
        <v>42</v>
      </c>
      <c r="M21" s="6">
        <v>3450.76</v>
      </c>
      <c r="N21" s="6">
        <v>2156.52</v>
      </c>
      <c r="O21" s="6">
        <v>140.02000000000001</v>
      </c>
      <c r="P21" s="6">
        <v>0</v>
      </c>
      <c r="Q21" s="4" t="s">
        <v>51</v>
      </c>
      <c r="R21" s="10" t="s">
        <v>27</v>
      </c>
      <c r="S21" s="30">
        <f>(Claims_data[[#This Row],[Billed Amount ($)]]-Claims_data[[#This Row],[Paid Amount ($)]])/Claims_data[[#This Row],[Billed Amount ($)]]</f>
        <v>1</v>
      </c>
    </row>
    <row r="22" spans="1:19" x14ac:dyDescent="0.2">
      <c r="A22" s="7" t="s">
        <v>89</v>
      </c>
      <c r="B22" s="1" t="s">
        <v>90</v>
      </c>
      <c r="C22" s="2">
        <v>49</v>
      </c>
      <c r="D22" s="1" t="s">
        <v>37</v>
      </c>
      <c r="E22" s="1" t="s">
        <v>38</v>
      </c>
      <c r="F22" s="1" t="s">
        <v>31</v>
      </c>
      <c r="G22" s="1" t="s">
        <v>32</v>
      </c>
      <c r="H22" s="1" t="s">
        <v>33</v>
      </c>
      <c r="I22" s="20">
        <v>45360</v>
      </c>
      <c r="J22" s="20" t="str">
        <f>TEXT(Claims_data[[#This Row],[Service Date]],"mmm")</f>
        <v>Mar</v>
      </c>
      <c r="K22" s="1" t="s">
        <v>24</v>
      </c>
      <c r="L22" s="1" t="s">
        <v>25</v>
      </c>
      <c r="M22" s="3">
        <v>4966.01</v>
      </c>
      <c r="N22" s="3">
        <v>3448.43</v>
      </c>
      <c r="O22" s="3">
        <v>132.4</v>
      </c>
      <c r="P22" s="3">
        <v>3316.03</v>
      </c>
      <c r="Q22" s="1" t="s">
        <v>43</v>
      </c>
      <c r="R22" s="9" t="s">
        <v>44</v>
      </c>
      <c r="S22" s="30">
        <f>(Claims_data[[#This Row],[Billed Amount ($)]]-Claims_data[[#This Row],[Paid Amount ($)]])/Claims_data[[#This Row],[Billed Amount ($)]]</f>
        <v>0.33225466722781466</v>
      </c>
    </row>
    <row r="23" spans="1:19" x14ac:dyDescent="0.2">
      <c r="A23" s="8" t="s">
        <v>91</v>
      </c>
      <c r="B23" s="4" t="s">
        <v>92</v>
      </c>
      <c r="C23" s="5">
        <v>37</v>
      </c>
      <c r="D23" s="4" t="s">
        <v>19</v>
      </c>
      <c r="E23" s="4" t="s">
        <v>20</v>
      </c>
      <c r="F23" s="4" t="s">
        <v>39</v>
      </c>
      <c r="G23" s="4" t="s">
        <v>40</v>
      </c>
      <c r="H23" s="4" t="s">
        <v>33</v>
      </c>
      <c r="I23" s="21">
        <v>45628</v>
      </c>
      <c r="J23" s="21" t="str">
        <f>TEXT(Claims_data[[#This Row],[Service Date]],"mmm")</f>
        <v>Dec</v>
      </c>
      <c r="K23" s="4" t="s">
        <v>73</v>
      </c>
      <c r="L23" s="4" t="s">
        <v>74</v>
      </c>
      <c r="M23" s="6">
        <v>11494.21</v>
      </c>
      <c r="N23" s="6">
        <v>9754.2900000000009</v>
      </c>
      <c r="O23" s="6">
        <v>92.25</v>
      </c>
      <c r="P23" s="6">
        <v>0</v>
      </c>
      <c r="Q23" s="4" t="s">
        <v>51</v>
      </c>
      <c r="R23" s="10" t="s">
        <v>27</v>
      </c>
      <c r="S23" s="30">
        <f>(Claims_data[[#This Row],[Billed Amount ($)]]-Claims_data[[#This Row],[Paid Amount ($)]])/Claims_data[[#This Row],[Billed Amount ($)]]</f>
        <v>1</v>
      </c>
    </row>
    <row r="24" spans="1:19" x14ac:dyDescent="0.2">
      <c r="A24" s="7" t="s">
        <v>93</v>
      </c>
      <c r="B24" s="1" t="s">
        <v>94</v>
      </c>
      <c r="C24" s="2">
        <v>57</v>
      </c>
      <c r="D24" s="1" t="s">
        <v>37</v>
      </c>
      <c r="E24" s="1" t="s">
        <v>20</v>
      </c>
      <c r="F24" s="1" t="s">
        <v>21</v>
      </c>
      <c r="G24" s="1" t="s">
        <v>22</v>
      </c>
      <c r="H24" s="1" t="s">
        <v>23</v>
      </c>
      <c r="I24" s="20">
        <v>45294</v>
      </c>
      <c r="J24" s="20" t="str">
        <f>TEXT(Claims_data[[#This Row],[Service Date]],"mmm")</f>
        <v>Jan</v>
      </c>
      <c r="K24" s="1" t="s">
        <v>60</v>
      </c>
      <c r="L24" s="1" t="s">
        <v>61</v>
      </c>
      <c r="M24" s="3">
        <v>7072.5</v>
      </c>
      <c r="N24" s="3">
        <v>4956.8</v>
      </c>
      <c r="O24" s="3">
        <v>130.85</v>
      </c>
      <c r="P24" s="3">
        <v>4825.95</v>
      </c>
      <c r="Q24" s="1" t="s">
        <v>43</v>
      </c>
      <c r="R24" s="9" t="s">
        <v>27</v>
      </c>
      <c r="S24" s="30">
        <f>(Claims_data[[#This Row],[Billed Amount ($)]]-Claims_data[[#This Row],[Paid Amount ($)]])/Claims_data[[#This Row],[Billed Amount ($)]]</f>
        <v>0.31764581124072111</v>
      </c>
    </row>
    <row r="25" spans="1:19" x14ac:dyDescent="0.2">
      <c r="A25" s="8" t="s">
        <v>95</v>
      </c>
      <c r="B25" s="4" t="s">
        <v>96</v>
      </c>
      <c r="C25" s="5">
        <v>30</v>
      </c>
      <c r="D25" s="4" t="s">
        <v>19</v>
      </c>
      <c r="E25" s="4" t="s">
        <v>30</v>
      </c>
      <c r="F25" s="4" t="s">
        <v>39</v>
      </c>
      <c r="G25" s="4" t="s">
        <v>40</v>
      </c>
      <c r="H25" s="4" t="s">
        <v>33</v>
      </c>
      <c r="I25" s="21">
        <v>45341</v>
      </c>
      <c r="J25" s="21" t="str">
        <f>TEXT(Claims_data[[#This Row],[Service Date]],"mmm")</f>
        <v>Feb</v>
      </c>
      <c r="K25" s="4" t="s">
        <v>34</v>
      </c>
      <c r="L25" s="4" t="s">
        <v>35</v>
      </c>
      <c r="M25" s="6">
        <v>11307.91</v>
      </c>
      <c r="N25" s="6">
        <v>8151.9</v>
      </c>
      <c r="O25" s="6">
        <v>95.26</v>
      </c>
      <c r="P25" s="6">
        <v>8056.64</v>
      </c>
      <c r="Q25" s="4" t="s">
        <v>43</v>
      </c>
      <c r="R25" s="10" t="s">
        <v>44</v>
      </c>
      <c r="S25" s="30">
        <f>(Claims_data[[#This Row],[Billed Amount ($)]]-Claims_data[[#This Row],[Paid Amount ($)]])/Claims_data[[#This Row],[Billed Amount ($)]]</f>
        <v>0.28752174362901717</v>
      </c>
    </row>
    <row r="26" spans="1:19" x14ac:dyDescent="0.2">
      <c r="A26" s="7" t="s">
        <v>97</v>
      </c>
      <c r="B26" s="1" t="s">
        <v>98</v>
      </c>
      <c r="C26" s="2">
        <v>45</v>
      </c>
      <c r="D26" s="1" t="s">
        <v>37</v>
      </c>
      <c r="E26" s="1" t="s">
        <v>20</v>
      </c>
      <c r="F26" s="1" t="s">
        <v>31</v>
      </c>
      <c r="G26" s="1" t="s">
        <v>32</v>
      </c>
      <c r="H26" s="1" t="s">
        <v>33</v>
      </c>
      <c r="I26" s="20">
        <v>45611</v>
      </c>
      <c r="J26" s="20" t="str">
        <f>TEXT(Claims_data[[#This Row],[Service Date]],"mmm")</f>
        <v>Nov</v>
      </c>
      <c r="K26" s="1" t="s">
        <v>73</v>
      </c>
      <c r="L26" s="1" t="s">
        <v>74</v>
      </c>
      <c r="M26" s="3">
        <v>8636.8700000000008</v>
      </c>
      <c r="N26" s="3">
        <v>5368.73</v>
      </c>
      <c r="O26" s="3">
        <v>71.45</v>
      </c>
      <c r="P26" s="3">
        <v>5297.28</v>
      </c>
      <c r="Q26" s="1" t="s">
        <v>43</v>
      </c>
      <c r="R26" s="9" t="s">
        <v>27</v>
      </c>
      <c r="S26" s="30">
        <f>(Claims_data[[#This Row],[Billed Amount ($)]]-Claims_data[[#This Row],[Paid Amount ($)]])/Claims_data[[#This Row],[Billed Amount ($)]]</f>
        <v>0.38666669754204946</v>
      </c>
    </row>
    <row r="27" spans="1:19" x14ac:dyDescent="0.2">
      <c r="A27" s="8" t="s">
        <v>99</v>
      </c>
      <c r="B27" s="4" t="s">
        <v>79</v>
      </c>
      <c r="C27" s="5">
        <v>48</v>
      </c>
      <c r="D27" s="4" t="s">
        <v>19</v>
      </c>
      <c r="E27" s="4" t="s">
        <v>20</v>
      </c>
      <c r="F27" s="4" t="s">
        <v>82</v>
      </c>
      <c r="G27" s="4" t="s">
        <v>83</v>
      </c>
      <c r="H27" s="4" t="s">
        <v>33</v>
      </c>
      <c r="I27" s="21">
        <v>45397</v>
      </c>
      <c r="J27" s="21" t="str">
        <f>TEXT(Claims_data[[#This Row],[Service Date]],"mmm")</f>
        <v>Apr</v>
      </c>
      <c r="K27" s="4" t="s">
        <v>24</v>
      </c>
      <c r="L27" s="4" t="s">
        <v>25</v>
      </c>
      <c r="M27" s="6">
        <v>6144.73</v>
      </c>
      <c r="N27" s="6">
        <v>3623.77</v>
      </c>
      <c r="O27" s="6">
        <v>65.37</v>
      </c>
      <c r="P27" s="6">
        <v>3558.4</v>
      </c>
      <c r="Q27" s="4" t="s">
        <v>43</v>
      </c>
      <c r="R27" s="10" t="s">
        <v>44</v>
      </c>
      <c r="S27" s="30">
        <f>(Claims_data[[#This Row],[Billed Amount ($)]]-Claims_data[[#This Row],[Paid Amount ($)]])/Claims_data[[#This Row],[Billed Amount ($)]]</f>
        <v>0.42090213890602185</v>
      </c>
    </row>
    <row r="28" spans="1:19" x14ac:dyDescent="0.2">
      <c r="A28" s="7" t="s">
        <v>100</v>
      </c>
      <c r="B28" s="1" t="s">
        <v>101</v>
      </c>
      <c r="C28" s="2">
        <v>41</v>
      </c>
      <c r="D28" s="1" t="s">
        <v>37</v>
      </c>
      <c r="E28" s="1" t="s">
        <v>20</v>
      </c>
      <c r="F28" s="1" t="s">
        <v>82</v>
      </c>
      <c r="G28" s="1" t="s">
        <v>83</v>
      </c>
      <c r="H28" s="1" t="s">
        <v>33</v>
      </c>
      <c r="I28" s="20">
        <v>45315</v>
      </c>
      <c r="J28" s="20" t="str">
        <f>TEXT(Claims_data[[#This Row],[Service Date]],"mmm")</f>
        <v>Jan</v>
      </c>
      <c r="K28" s="1" t="s">
        <v>49</v>
      </c>
      <c r="L28" s="1" t="s">
        <v>50</v>
      </c>
      <c r="M28" s="3">
        <v>8064.18</v>
      </c>
      <c r="N28" s="3">
        <v>5777.02</v>
      </c>
      <c r="O28" s="3">
        <v>141.13</v>
      </c>
      <c r="P28" s="3">
        <v>5635.89</v>
      </c>
      <c r="Q28" s="1" t="s">
        <v>43</v>
      </c>
      <c r="R28" s="9" t="s">
        <v>27</v>
      </c>
      <c r="S28" s="30">
        <f>(Claims_data[[#This Row],[Billed Amount ($)]]-Claims_data[[#This Row],[Paid Amount ($)]])/Claims_data[[#This Row],[Billed Amount ($)]]</f>
        <v>0.30112051070288609</v>
      </c>
    </row>
    <row r="29" spans="1:19" x14ac:dyDescent="0.2">
      <c r="A29" s="8" t="s">
        <v>102</v>
      </c>
      <c r="B29" s="4" t="s">
        <v>103</v>
      </c>
      <c r="C29" s="5">
        <v>56</v>
      </c>
      <c r="D29" s="4" t="s">
        <v>19</v>
      </c>
      <c r="E29" s="4" t="s">
        <v>20</v>
      </c>
      <c r="F29" s="4" t="s">
        <v>46</v>
      </c>
      <c r="G29" s="4" t="s">
        <v>47</v>
      </c>
      <c r="H29" s="4" t="s">
        <v>48</v>
      </c>
      <c r="I29" s="21">
        <v>45568</v>
      </c>
      <c r="J29" s="21" t="str">
        <f>TEXT(Claims_data[[#This Row],[Service Date]],"mmm")</f>
        <v>Oct</v>
      </c>
      <c r="K29" s="4" t="s">
        <v>73</v>
      </c>
      <c r="L29" s="4" t="s">
        <v>74</v>
      </c>
      <c r="M29" s="6">
        <v>2645.96</v>
      </c>
      <c r="N29" s="6">
        <v>1727.45</v>
      </c>
      <c r="O29" s="6">
        <v>109.37</v>
      </c>
      <c r="P29" s="6">
        <v>1618.08</v>
      </c>
      <c r="Q29" s="4" t="s">
        <v>43</v>
      </c>
      <c r="R29" s="10" t="s">
        <v>44</v>
      </c>
      <c r="S29" s="30">
        <f>(Claims_data[[#This Row],[Billed Amount ($)]]-Claims_data[[#This Row],[Paid Amount ($)]])/Claims_data[[#This Row],[Billed Amount ($)]]</f>
        <v>0.38847148105035606</v>
      </c>
    </row>
    <row r="30" spans="1:19" x14ac:dyDescent="0.2">
      <c r="A30" s="7" t="s">
        <v>104</v>
      </c>
      <c r="B30" s="1" t="s">
        <v>105</v>
      </c>
      <c r="C30" s="2">
        <v>53</v>
      </c>
      <c r="D30" s="1" t="s">
        <v>19</v>
      </c>
      <c r="E30" s="1" t="s">
        <v>30</v>
      </c>
      <c r="F30" s="1" t="s">
        <v>21</v>
      </c>
      <c r="G30" s="1" t="s">
        <v>22</v>
      </c>
      <c r="H30" s="1" t="s">
        <v>23</v>
      </c>
      <c r="I30" s="20">
        <v>45292</v>
      </c>
      <c r="J30" s="20" t="str">
        <f>TEXT(Claims_data[[#This Row],[Service Date]],"mmm")</f>
        <v>Jan</v>
      </c>
      <c r="K30" s="1" t="s">
        <v>73</v>
      </c>
      <c r="L30" s="1" t="s">
        <v>74</v>
      </c>
      <c r="M30" s="3">
        <v>4102.6400000000003</v>
      </c>
      <c r="N30" s="3">
        <v>2417.46</v>
      </c>
      <c r="O30" s="3">
        <v>147.37</v>
      </c>
      <c r="P30" s="3">
        <v>2270.09</v>
      </c>
      <c r="Q30" s="1" t="s">
        <v>43</v>
      </c>
      <c r="R30" s="9" t="s">
        <v>27</v>
      </c>
      <c r="S30" s="30">
        <f>(Claims_data[[#This Row],[Billed Amount ($)]]-Claims_data[[#This Row],[Paid Amount ($)]])/Claims_data[[#This Row],[Billed Amount ($)]]</f>
        <v>0.44667579899771853</v>
      </c>
    </row>
    <row r="31" spans="1:19" x14ac:dyDescent="0.2">
      <c r="A31" s="8" t="s">
        <v>106</v>
      </c>
      <c r="B31" s="4" t="s">
        <v>101</v>
      </c>
      <c r="C31" s="5">
        <v>27</v>
      </c>
      <c r="D31" s="4" t="s">
        <v>19</v>
      </c>
      <c r="E31" s="4" t="s">
        <v>38</v>
      </c>
      <c r="F31" s="4" t="s">
        <v>31</v>
      </c>
      <c r="G31" s="4" t="s">
        <v>32</v>
      </c>
      <c r="H31" s="4" t="s">
        <v>33</v>
      </c>
      <c r="I31" s="21">
        <v>45561</v>
      </c>
      <c r="J31" s="21" t="str">
        <f>TEXT(Claims_data[[#This Row],[Service Date]],"mmm")</f>
        <v>Sep</v>
      </c>
      <c r="K31" s="4" t="s">
        <v>24</v>
      </c>
      <c r="L31" s="4" t="s">
        <v>25</v>
      </c>
      <c r="M31" s="6">
        <v>576.92999999999995</v>
      </c>
      <c r="N31" s="6">
        <v>381.22</v>
      </c>
      <c r="O31" s="6">
        <v>91.83</v>
      </c>
      <c r="P31" s="6">
        <v>0</v>
      </c>
      <c r="Q31" s="4" t="s">
        <v>51</v>
      </c>
      <c r="R31" s="10" t="s">
        <v>27</v>
      </c>
      <c r="S31" s="30">
        <f>(Claims_data[[#This Row],[Billed Amount ($)]]-Claims_data[[#This Row],[Paid Amount ($)]])/Claims_data[[#This Row],[Billed Amount ($)]]</f>
        <v>1</v>
      </c>
    </row>
    <row r="32" spans="1:19" x14ac:dyDescent="0.2">
      <c r="A32" s="7" t="s">
        <v>107</v>
      </c>
      <c r="B32" s="1" t="s">
        <v>96</v>
      </c>
      <c r="C32" s="2">
        <v>72</v>
      </c>
      <c r="D32" s="1" t="s">
        <v>37</v>
      </c>
      <c r="E32" s="1" t="s">
        <v>20</v>
      </c>
      <c r="F32" s="1" t="s">
        <v>31</v>
      </c>
      <c r="G32" s="1" t="s">
        <v>32</v>
      </c>
      <c r="H32" s="1" t="s">
        <v>33</v>
      </c>
      <c r="I32" s="20">
        <v>45624</v>
      </c>
      <c r="J32" s="20" t="str">
        <f>TEXT(Claims_data[[#This Row],[Service Date]],"mmm")</f>
        <v>Nov</v>
      </c>
      <c r="K32" s="1" t="s">
        <v>60</v>
      </c>
      <c r="L32" s="1" t="s">
        <v>61</v>
      </c>
      <c r="M32" s="3">
        <v>3106.93</v>
      </c>
      <c r="N32" s="3">
        <v>1804.62</v>
      </c>
      <c r="O32" s="3">
        <v>121.42</v>
      </c>
      <c r="P32" s="3">
        <v>0</v>
      </c>
      <c r="Q32" s="1" t="s">
        <v>51</v>
      </c>
      <c r="R32" s="9" t="s">
        <v>27</v>
      </c>
      <c r="S32" s="30">
        <f>(Claims_data[[#This Row],[Billed Amount ($)]]-Claims_data[[#This Row],[Paid Amount ($)]])/Claims_data[[#This Row],[Billed Amount ($)]]</f>
        <v>1</v>
      </c>
    </row>
    <row r="33" spans="1:19" x14ac:dyDescent="0.2">
      <c r="A33" s="8" t="s">
        <v>108</v>
      </c>
      <c r="B33" s="4" t="s">
        <v>109</v>
      </c>
      <c r="C33" s="5">
        <v>72</v>
      </c>
      <c r="D33" s="4" t="s">
        <v>37</v>
      </c>
      <c r="E33" s="4" t="s">
        <v>38</v>
      </c>
      <c r="F33" s="4" t="s">
        <v>39</v>
      </c>
      <c r="G33" s="4" t="s">
        <v>40</v>
      </c>
      <c r="H33" s="4" t="s">
        <v>33</v>
      </c>
      <c r="I33" s="21">
        <v>45297</v>
      </c>
      <c r="J33" s="21" t="str">
        <f>TEXT(Claims_data[[#This Row],[Service Date]],"mmm")</f>
        <v>Jan</v>
      </c>
      <c r="K33" s="4" t="s">
        <v>41</v>
      </c>
      <c r="L33" s="4" t="s">
        <v>42</v>
      </c>
      <c r="M33" s="6">
        <v>2275.42</v>
      </c>
      <c r="N33" s="6">
        <v>1882.56</v>
      </c>
      <c r="O33" s="6">
        <v>121.71</v>
      </c>
      <c r="P33" s="6">
        <v>0</v>
      </c>
      <c r="Q33" s="4" t="s">
        <v>51</v>
      </c>
      <c r="R33" s="10" t="s">
        <v>27</v>
      </c>
      <c r="S33" s="30">
        <f>(Claims_data[[#This Row],[Billed Amount ($)]]-Claims_data[[#This Row],[Paid Amount ($)]])/Claims_data[[#This Row],[Billed Amount ($)]]</f>
        <v>1</v>
      </c>
    </row>
    <row r="34" spans="1:19" x14ac:dyDescent="0.2">
      <c r="A34" s="7" t="s">
        <v>110</v>
      </c>
      <c r="B34" s="1" t="s">
        <v>53</v>
      </c>
      <c r="C34" s="2">
        <v>39</v>
      </c>
      <c r="D34" s="1" t="s">
        <v>37</v>
      </c>
      <c r="E34" s="1" t="s">
        <v>30</v>
      </c>
      <c r="F34" s="1" t="s">
        <v>21</v>
      </c>
      <c r="G34" s="1" t="s">
        <v>22</v>
      </c>
      <c r="H34" s="1" t="s">
        <v>23</v>
      </c>
      <c r="I34" s="20">
        <v>45511</v>
      </c>
      <c r="J34" s="20" t="str">
        <f>TEXT(Claims_data[[#This Row],[Service Date]],"mmm")</f>
        <v>Aug</v>
      </c>
      <c r="K34" s="1" t="s">
        <v>111</v>
      </c>
      <c r="L34" s="1" t="s">
        <v>112</v>
      </c>
      <c r="M34" s="3">
        <v>2785.84</v>
      </c>
      <c r="N34" s="3">
        <v>2214.6799999999998</v>
      </c>
      <c r="O34" s="3">
        <v>79.84</v>
      </c>
      <c r="P34" s="3">
        <v>2134.84</v>
      </c>
      <c r="Q34" s="1" t="s">
        <v>43</v>
      </c>
      <c r="R34" s="9" t="s">
        <v>44</v>
      </c>
      <c r="S34" s="30">
        <f>(Claims_data[[#This Row],[Billed Amount ($)]]-Claims_data[[#This Row],[Paid Amount ($)]])/Claims_data[[#This Row],[Billed Amount ($)]]</f>
        <v>0.233681762053815</v>
      </c>
    </row>
    <row r="35" spans="1:19" x14ac:dyDescent="0.2">
      <c r="A35" s="8" t="s">
        <v>113</v>
      </c>
      <c r="B35" s="4" t="s">
        <v>57</v>
      </c>
      <c r="C35" s="5">
        <v>59</v>
      </c>
      <c r="D35" s="4" t="s">
        <v>19</v>
      </c>
      <c r="E35" s="4" t="s">
        <v>20</v>
      </c>
      <c r="F35" s="4" t="s">
        <v>46</v>
      </c>
      <c r="G35" s="4" t="s">
        <v>47</v>
      </c>
      <c r="H35" s="4" t="s">
        <v>48</v>
      </c>
      <c r="I35" s="21">
        <v>45326</v>
      </c>
      <c r="J35" s="21" t="str">
        <f>TEXT(Claims_data[[#This Row],[Service Date]],"mmm")</f>
        <v>Feb</v>
      </c>
      <c r="K35" s="4" t="s">
        <v>60</v>
      </c>
      <c r="L35" s="4" t="s">
        <v>61</v>
      </c>
      <c r="M35" s="6">
        <v>11607.64</v>
      </c>
      <c r="N35" s="6">
        <v>7356.2</v>
      </c>
      <c r="O35" s="6">
        <v>103.39</v>
      </c>
      <c r="P35" s="6">
        <v>0</v>
      </c>
      <c r="Q35" s="4" t="s">
        <v>51</v>
      </c>
      <c r="R35" s="10" t="s">
        <v>44</v>
      </c>
      <c r="S35" s="30">
        <f>(Claims_data[[#This Row],[Billed Amount ($)]]-Claims_data[[#This Row],[Paid Amount ($)]])/Claims_data[[#This Row],[Billed Amount ($)]]</f>
        <v>1</v>
      </c>
    </row>
    <row r="36" spans="1:19" x14ac:dyDescent="0.2">
      <c r="A36" s="7" t="s">
        <v>114</v>
      </c>
      <c r="B36" s="1" t="s">
        <v>63</v>
      </c>
      <c r="C36" s="2">
        <v>63</v>
      </c>
      <c r="D36" s="1" t="s">
        <v>37</v>
      </c>
      <c r="E36" s="1" t="s">
        <v>38</v>
      </c>
      <c r="F36" s="1" t="s">
        <v>82</v>
      </c>
      <c r="G36" s="1" t="s">
        <v>83</v>
      </c>
      <c r="H36" s="1" t="s">
        <v>33</v>
      </c>
      <c r="I36" s="20">
        <v>45431</v>
      </c>
      <c r="J36" s="20" t="str">
        <f>TEXT(Claims_data[[#This Row],[Service Date]],"mmm")</f>
        <v>May</v>
      </c>
      <c r="K36" s="1" t="s">
        <v>41</v>
      </c>
      <c r="L36" s="1" t="s">
        <v>42</v>
      </c>
      <c r="M36" s="3">
        <v>603.35</v>
      </c>
      <c r="N36" s="3">
        <v>439.82</v>
      </c>
      <c r="O36" s="3">
        <v>64.94</v>
      </c>
      <c r="P36" s="3">
        <v>374.88</v>
      </c>
      <c r="Q36" s="1" t="s">
        <v>43</v>
      </c>
      <c r="R36" s="9" t="s">
        <v>27</v>
      </c>
      <c r="S36" s="30">
        <f>(Claims_data[[#This Row],[Billed Amount ($)]]-Claims_data[[#This Row],[Paid Amount ($)]])/Claims_data[[#This Row],[Billed Amount ($)]]</f>
        <v>0.37866909753874206</v>
      </c>
    </row>
    <row r="37" spans="1:19" x14ac:dyDescent="0.2">
      <c r="A37" s="8" t="s">
        <v>115</v>
      </c>
      <c r="B37" s="4" t="s">
        <v>116</v>
      </c>
      <c r="C37" s="5">
        <v>52</v>
      </c>
      <c r="D37" s="4" t="s">
        <v>37</v>
      </c>
      <c r="E37" s="4" t="s">
        <v>30</v>
      </c>
      <c r="F37" s="4" t="s">
        <v>21</v>
      </c>
      <c r="G37" s="4" t="s">
        <v>22</v>
      </c>
      <c r="H37" s="4" t="s">
        <v>23</v>
      </c>
      <c r="I37" s="21">
        <v>45637</v>
      </c>
      <c r="J37" s="21" t="str">
        <f>TEXT(Claims_data[[#This Row],[Service Date]],"mmm")</f>
        <v>Dec</v>
      </c>
      <c r="K37" s="4" t="s">
        <v>73</v>
      </c>
      <c r="L37" s="4" t="s">
        <v>74</v>
      </c>
      <c r="M37" s="6">
        <v>5317.28</v>
      </c>
      <c r="N37" s="6">
        <v>3753.87</v>
      </c>
      <c r="O37" s="6">
        <v>124.85</v>
      </c>
      <c r="P37" s="6">
        <v>3629.02</v>
      </c>
      <c r="Q37" s="4" t="s">
        <v>43</v>
      </c>
      <c r="R37" s="10" t="s">
        <v>44</v>
      </c>
      <c r="S37" s="30">
        <f>(Claims_data[[#This Row],[Billed Amount ($)]]-Claims_data[[#This Row],[Paid Amount ($)]])/Claims_data[[#This Row],[Billed Amount ($)]]</f>
        <v>0.31750443835946196</v>
      </c>
    </row>
    <row r="38" spans="1:19" x14ac:dyDescent="0.2">
      <c r="A38" s="7" t="s">
        <v>117</v>
      </c>
      <c r="B38" s="1" t="s">
        <v>88</v>
      </c>
      <c r="C38" s="2">
        <v>33</v>
      </c>
      <c r="D38" s="1" t="s">
        <v>37</v>
      </c>
      <c r="E38" s="1" t="s">
        <v>38</v>
      </c>
      <c r="F38" s="1" t="s">
        <v>46</v>
      </c>
      <c r="G38" s="1" t="s">
        <v>47</v>
      </c>
      <c r="H38" s="1" t="s">
        <v>48</v>
      </c>
      <c r="I38" s="20">
        <v>45557</v>
      </c>
      <c r="J38" s="20" t="str">
        <f>TEXT(Claims_data[[#This Row],[Service Date]],"mmm")</f>
        <v>Sep</v>
      </c>
      <c r="K38" s="1" t="s">
        <v>24</v>
      </c>
      <c r="L38" s="1" t="s">
        <v>25</v>
      </c>
      <c r="M38" s="3">
        <v>3815.02</v>
      </c>
      <c r="N38" s="3">
        <v>2565.67</v>
      </c>
      <c r="O38" s="3">
        <v>72.31</v>
      </c>
      <c r="P38" s="3">
        <v>2493.36</v>
      </c>
      <c r="Q38" s="1" t="s">
        <v>43</v>
      </c>
      <c r="R38" s="9" t="s">
        <v>44</v>
      </c>
      <c r="S38" s="30">
        <f>(Claims_data[[#This Row],[Billed Amount ($)]]-Claims_data[[#This Row],[Paid Amount ($)]])/Claims_data[[#This Row],[Billed Amount ($)]]</f>
        <v>0.34643592956262348</v>
      </c>
    </row>
    <row r="39" spans="1:19" x14ac:dyDescent="0.2">
      <c r="A39" s="8" t="s">
        <v>118</v>
      </c>
      <c r="B39" s="4" t="s">
        <v>59</v>
      </c>
      <c r="C39" s="5">
        <v>52</v>
      </c>
      <c r="D39" s="4" t="s">
        <v>19</v>
      </c>
      <c r="E39" s="4" t="s">
        <v>38</v>
      </c>
      <c r="F39" s="4" t="s">
        <v>82</v>
      </c>
      <c r="G39" s="4" t="s">
        <v>83</v>
      </c>
      <c r="H39" s="4" t="s">
        <v>33</v>
      </c>
      <c r="I39" s="21">
        <v>45580</v>
      </c>
      <c r="J39" s="21" t="str">
        <f>TEXT(Claims_data[[#This Row],[Service Date]],"mmm")</f>
        <v>Oct</v>
      </c>
      <c r="K39" s="4" t="s">
        <v>41</v>
      </c>
      <c r="L39" s="4" t="s">
        <v>42</v>
      </c>
      <c r="M39" s="6">
        <v>3716.26</v>
      </c>
      <c r="N39" s="6">
        <v>2654.83</v>
      </c>
      <c r="O39" s="6">
        <v>20.05</v>
      </c>
      <c r="P39" s="6">
        <v>2634.78</v>
      </c>
      <c r="Q39" s="4" t="s">
        <v>43</v>
      </c>
      <c r="R39" s="10" t="s">
        <v>44</v>
      </c>
      <c r="S39" s="30">
        <f>(Claims_data[[#This Row],[Billed Amount ($)]]-Claims_data[[#This Row],[Paid Amount ($)]])/Claims_data[[#This Row],[Billed Amount ($)]]</f>
        <v>0.29101300770129107</v>
      </c>
    </row>
    <row r="40" spans="1:19" x14ac:dyDescent="0.2">
      <c r="A40" s="7" t="s">
        <v>119</v>
      </c>
      <c r="B40" s="1" t="s">
        <v>120</v>
      </c>
      <c r="C40" s="2">
        <v>57</v>
      </c>
      <c r="D40" s="1" t="s">
        <v>19</v>
      </c>
      <c r="E40" s="1" t="s">
        <v>20</v>
      </c>
      <c r="F40" s="1" t="s">
        <v>82</v>
      </c>
      <c r="G40" s="1" t="s">
        <v>83</v>
      </c>
      <c r="H40" s="1" t="s">
        <v>33</v>
      </c>
      <c r="I40" s="20">
        <v>45531</v>
      </c>
      <c r="J40" s="20" t="str">
        <f>TEXT(Claims_data[[#This Row],[Service Date]],"mmm")</f>
        <v>Aug</v>
      </c>
      <c r="K40" s="1" t="s">
        <v>34</v>
      </c>
      <c r="L40" s="1" t="s">
        <v>35</v>
      </c>
      <c r="M40" s="3">
        <v>9555.76</v>
      </c>
      <c r="N40" s="3">
        <v>8007.25</v>
      </c>
      <c r="O40" s="3">
        <v>115.67</v>
      </c>
      <c r="P40" s="3">
        <v>7891.58</v>
      </c>
      <c r="Q40" s="1" t="s">
        <v>43</v>
      </c>
      <c r="R40" s="9" t="s">
        <v>27</v>
      </c>
      <c r="S40" s="30">
        <f>(Claims_data[[#This Row],[Billed Amount ($)]]-Claims_data[[#This Row],[Paid Amount ($)]])/Claims_data[[#This Row],[Billed Amount ($)]]</f>
        <v>0.17415464599362063</v>
      </c>
    </row>
    <row r="41" spans="1:19" x14ac:dyDescent="0.2">
      <c r="A41" s="8" t="s">
        <v>121</v>
      </c>
      <c r="B41" s="4" t="s">
        <v>122</v>
      </c>
      <c r="C41" s="5">
        <v>29</v>
      </c>
      <c r="D41" s="4" t="s">
        <v>19</v>
      </c>
      <c r="E41" s="4" t="s">
        <v>38</v>
      </c>
      <c r="F41" s="4" t="s">
        <v>31</v>
      </c>
      <c r="G41" s="4" t="s">
        <v>32</v>
      </c>
      <c r="H41" s="4" t="s">
        <v>33</v>
      </c>
      <c r="I41" s="21">
        <v>45403</v>
      </c>
      <c r="J41" s="21" t="str">
        <f>TEXT(Claims_data[[#This Row],[Service Date]],"mmm")</f>
        <v>Apr</v>
      </c>
      <c r="K41" s="4" t="s">
        <v>73</v>
      </c>
      <c r="L41" s="4" t="s">
        <v>74</v>
      </c>
      <c r="M41" s="6">
        <v>1896.14</v>
      </c>
      <c r="N41" s="6">
        <v>1069.17</v>
      </c>
      <c r="O41" s="6">
        <v>147.91</v>
      </c>
      <c r="P41" s="6">
        <v>921.26</v>
      </c>
      <c r="Q41" s="4" t="s">
        <v>26</v>
      </c>
      <c r="R41" s="10" t="s">
        <v>27</v>
      </c>
      <c r="S41" s="30">
        <f>(Claims_data[[#This Row],[Billed Amount ($)]]-Claims_data[[#This Row],[Paid Amount ($)]])/Claims_data[[#This Row],[Billed Amount ($)]]</f>
        <v>0.51413925132110505</v>
      </c>
    </row>
    <row r="42" spans="1:19" x14ac:dyDescent="0.2">
      <c r="A42" s="7" t="s">
        <v>123</v>
      </c>
      <c r="B42" s="1" t="s">
        <v>122</v>
      </c>
      <c r="C42" s="2">
        <v>52</v>
      </c>
      <c r="D42" s="1" t="s">
        <v>37</v>
      </c>
      <c r="E42" s="1" t="s">
        <v>20</v>
      </c>
      <c r="F42" s="1" t="s">
        <v>39</v>
      </c>
      <c r="G42" s="1" t="s">
        <v>40</v>
      </c>
      <c r="H42" s="1" t="s">
        <v>33</v>
      </c>
      <c r="I42" s="20">
        <v>45499</v>
      </c>
      <c r="J42" s="20" t="str">
        <f>TEXT(Claims_data[[#This Row],[Service Date]],"mmm")</f>
        <v>Jul</v>
      </c>
      <c r="K42" s="1" t="s">
        <v>111</v>
      </c>
      <c r="L42" s="1" t="s">
        <v>112</v>
      </c>
      <c r="M42" s="3">
        <v>3041.22</v>
      </c>
      <c r="N42" s="3">
        <v>2271.2399999999998</v>
      </c>
      <c r="O42" s="3">
        <v>20.72</v>
      </c>
      <c r="P42" s="3">
        <v>2250.52</v>
      </c>
      <c r="Q42" s="1" t="s">
        <v>43</v>
      </c>
      <c r="R42" s="9" t="s">
        <v>44</v>
      </c>
      <c r="S42" s="30">
        <f>(Claims_data[[#This Row],[Billed Amount ($)]]-Claims_data[[#This Row],[Paid Amount ($)]])/Claims_data[[#This Row],[Billed Amount ($)]]</f>
        <v>0.25999434437495472</v>
      </c>
    </row>
    <row r="43" spans="1:19" x14ac:dyDescent="0.2">
      <c r="A43" s="8" t="s">
        <v>124</v>
      </c>
      <c r="B43" s="4" t="s">
        <v>109</v>
      </c>
      <c r="C43" s="5">
        <v>58</v>
      </c>
      <c r="D43" s="4" t="s">
        <v>19</v>
      </c>
      <c r="E43" s="4" t="s">
        <v>38</v>
      </c>
      <c r="F43" s="4" t="s">
        <v>82</v>
      </c>
      <c r="G43" s="4" t="s">
        <v>83</v>
      </c>
      <c r="H43" s="4" t="s">
        <v>33</v>
      </c>
      <c r="I43" s="21">
        <v>45402</v>
      </c>
      <c r="J43" s="21" t="str">
        <f>TEXT(Claims_data[[#This Row],[Service Date]],"mmm")</f>
        <v>Apr</v>
      </c>
      <c r="K43" s="4" t="s">
        <v>125</v>
      </c>
      <c r="L43" s="4" t="s">
        <v>126</v>
      </c>
      <c r="M43" s="6">
        <v>11022.02</v>
      </c>
      <c r="N43" s="6">
        <v>6463.4</v>
      </c>
      <c r="O43" s="6">
        <v>37.33</v>
      </c>
      <c r="P43" s="6">
        <v>0</v>
      </c>
      <c r="Q43" s="4" t="s">
        <v>51</v>
      </c>
      <c r="R43" s="10" t="s">
        <v>44</v>
      </c>
      <c r="S43" s="30">
        <f>(Claims_data[[#This Row],[Billed Amount ($)]]-Claims_data[[#This Row],[Paid Amount ($)]])/Claims_data[[#This Row],[Billed Amount ($)]]</f>
        <v>1</v>
      </c>
    </row>
    <row r="44" spans="1:19" x14ac:dyDescent="0.2">
      <c r="A44" s="7" t="s">
        <v>127</v>
      </c>
      <c r="B44" s="1" t="s">
        <v>128</v>
      </c>
      <c r="C44" s="2">
        <v>42</v>
      </c>
      <c r="D44" s="1" t="s">
        <v>19</v>
      </c>
      <c r="E44" s="1" t="s">
        <v>30</v>
      </c>
      <c r="F44" s="1" t="s">
        <v>39</v>
      </c>
      <c r="G44" s="1" t="s">
        <v>40</v>
      </c>
      <c r="H44" s="1" t="s">
        <v>33</v>
      </c>
      <c r="I44" s="20">
        <v>45359</v>
      </c>
      <c r="J44" s="20" t="str">
        <f>TEXT(Claims_data[[#This Row],[Service Date]],"mmm")</f>
        <v>Mar</v>
      </c>
      <c r="K44" s="1" t="s">
        <v>65</v>
      </c>
      <c r="L44" s="1" t="s">
        <v>66</v>
      </c>
      <c r="M44" s="3">
        <v>8962.32</v>
      </c>
      <c r="N44" s="3">
        <v>6205.53</v>
      </c>
      <c r="O44" s="3">
        <v>53.69</v>
      </c>
      <c r="P44" s="3">
        <v>6151.84</v>
      </c>
      <c r="Q44" s="1" t="s">
        <v>43</v>
      </c>
      <c r="R44" s="9" t="s">
        <v>44</v>
      </c>
      <c r="S44" s="30">
        <f>(Claims_data[[#This Row],[Billed Amount ($)]]-Claims_data[[#This Row],[Paid Amount ($)]])/Claims_data[[#This Row],[Billed Amount ($)]]</f>
        <v>0.31358844584884266</v>
      </c>
    </row>
    <row r="45" spans="1:19" x14ac:dyDescent="0.2">
      <c r="A45" s="8" t="s">
        <v>129</v>
      </c>
      <c r="B45" s="4" t="s">
        <v>18</v>
      </c>
      <c r="C45" s="5">
        <v>33</v>
      </c>
      <c r="D45" s="4" t="s">
        <v>37</v>
      </c>
      <c r="E45" s="4" t="s">
        <v>20</v>
      </c>
      <c r="F45" s="4" t="s">
        <v>21</v>
      </c>
      <c r="G45" s="4" t="s">
        <v>22</v>
      </c>
      <c r="H45" s="4" t="s">
        <v>23</v>
      </c>
      <c r="I45" s="21">
        <v>45639</v>
      </c>
      <c r="J45" s="21" t="str">
        <f>TEXT(Claims_data[[#This Row],[Service Date]],"mmm")</f>
        <v>Dec</v>
      </c>
      <c r="K45" s="4" t="s">
        <v>85</v>
      </c>
      <c r="L45" s="4" t="s">
        <v>86</v>
      </c>
      <c r="M45" s="6">
        <v>3535.88</v>
      </c>
      <c r="N45" s="6">
        <v>2232.96</v>
      </c>
      <c r="O45" s="6">
        <v>61.56</v>
      </c>
      <c r="P45" s="6">
        <v>2171.4</v>
      </c>
      <c r="Q45" s="4" t="s">
        <v>26</v>
      </c>
      <c r="R45" s="10" t="s">
        <v>27</v>
      </c>
      <c r="S45" s="30">
        <f>(Claims_data[[#This Row],[Billed Amount ($)]]-Claims_data[[#This Row],[Paid Amount ($)]])/Claims_data[[#This Row],[Billed Amount ($)]]</f>
        <v>0.38589544894057493</v>
      </c>
    </row>
    <row r="46" spans="1:19" x14ac:dyDescent="0.2">
      <c r="A46" s="7" t="s">
        <v>130</v>
      </c>
      <c r="B46" s="1" t="s">
        <v>29</v>
      </c>
      <c r="C46" s="2">
        <v>49</v>
      </c>
      <c r="D46" s="1" t="s">
        <v>37</v>
      </c>
      <c r="E46" s="1" t="s">
        <v>30</v>
      </c>
      <c r="F46" s="1" t="s">
        <v>21</v>
      </c>
      <c r="G46" s="1" t="s">
        <v>22</v>
      </c>
      <c r="H46" s="1" t="s">
        <v>23</v>
      </c>
      <c r="I46" s="20">
        <v>45486</v>
      </c>
      <c r="J46" s="20" t="str">
        <f>TEXT(Claims_data[[#This Row],[Service Date]],"mmm")</f>
        <v>Jul</v>
      </c>
      <c r="K46" s="1" t="s">
        <v>34</v>
      </c>
      <c r="L46" s="1" t="s">
        <v>35</v>
      </c>
      <c r="M46" s="3">
        <v>4980.05</v>
      </c>
      <c r="N46" s="3">
        <v>3549.7</v>
      </c>
      <c r="O46" s="3">
        <v>74.05</v>
      </c>
      <c r="P46" s="3">
        <v>3475.65</v>
      </c>
      <c r="Q46" s="1" t="s">
        <v>43</v>
      </c>
      <c r="R46" s="9" t="s">
        <v>44</v>
      </c>
      <c r="S46" s="30">
        <f>(Claims_data[[#This Row],[Billed Amount ($)]]-Claims_data[[#This Row],[Paid Amount ($)]])/Claims_data[[#This Row],[Billed Amount ($)]]</f>
        <v>0.30208532042850977</v>
      </c>
    </row>
    <row r="47" spans="1:19" x14ac:dyDescent="0.2">
      <c r="A47" s="8" t="s">
        <v>131</v>
      </c>
      <c r="B47" s="4" t="s">
        <v>132</v>
      </c>
      <c r="C47" s="5">
        <v>72</v>
      </c>
      <c r="D47" s="4" t="s">
        <v>37</v>
      </c>
      <c r="E47" s="4" t="s">
        <v>38</v>
      </c>
      <c r="F47" s="4" t="s">
        <v>46</v>
      </c>
      <c r="G47" s="4" t="s">
        <v>47</v>
      </c>
      <c r="H47" s="4" t="s">
        <v>48</v>
      </c>
      <c r="I47" s="21">
        <v>45420</v>
      </c>
      <c r="J47" s="21" t="str">
        <f>TEXT(Claims_data[[#This Row],[Service Date]],"mmm")</f>
        <v>May</v>
      </c>
      <c r="K47" s="4" t="s">
        <v>125</v>
      </c>
      <c r="L47" s="4" t="s">
        <v>126</v>
      </c>
      <c r="M47" s="6">
        <v>9078.68</v>
      </c>
      <c r="N47" s="6">
        <v>7317.73</v>
      </c>
      <c r="O47" s="6">
        <v>143.94999999999999</v>
      </c>
      <c r="P47" s="6">
        <v>0</v>
      </c>
      <c r="Q47" s="4" t="s">
        <v>51</v>
      </c>
      <c r="R47" s="10" t="s">
        <v>44</v>
      </c>
      <c r="S47" s="30">
        <f>(Claims_data[[#This Row],[Billed Amount ($)]]-Claims_data[[#This Row],[Paid Amount ($)]])/Claims_data[[#This Row],[Billed Amount ($)]]</f>
        <v>1</v>
      </c>
    </row>
    <row r="48" spans="1:19" x14ac:dyDescent="0.2">
      <c r="A48" s="7" t="s">
        <v>133</v>
      </c>
      <c r="B48" s="1" t="s">
        <v>98</v>
      </c>
      <c r="C48" s="2">
        <v>33</v>
      </c>
      <c r="D48" s="1" t="s">
        <v>37</v>
      </c>
      <c r="E48" s="1" t="s">
        <v>38</v>
      </c>
      <c r="F48" s="1" t="s">
        <v>39</v>
      </c>
      <c r="G48" s="1" t="s">
        <v>40</v>
      </c>
      <c r="H48" s="1" t="s">
        <v>33</v>
      </c>
      <c r="I48" s="20">
        <v>45310</v>
      </c>
      <c r="J48" s="20" t="str">
        <f>TEXT(Claims_data[[#This Row],[Service Date]],"mmm")</f>
        <v>Jan</v>
      </c>
      <c r="K48" s="1" t="s">
        <v>111</v>
      </c>
      <c r="L48" s="1" t="s">
        <v>112</v>
      </c>
      <c r="M48" s="3">
        <v>4757.96</v>
      </c>
      <c r="N48" s="3">
        <v>3571.62</v>
      </c>
      <c r="O48" s="3">
        <v>123.76</v>
      </c>
      <c r="P48" s="3">
        <v>3447.86</v>
      </c>
      <c r="Q48" s="1" t="s">
        <v>43</v>
      </c>
      <c r="R48" s="9" t="s">
        <v>27</v>
      </c>
      <c r="S48" s="30">
        <f>(Claims_data[[#This Row],[Billed Amount ($)]]-Claims_data[[#This Row],[Paid Amount ($)]])/Claims_data[[#This Row],[Billed Amount ($)]]</f>
        <v>0.2753490991937721</v>
      </c>
    </row>
    <row r="49" spans="1:19" x14ac:dyDescent="0.2">
      <c r="A49" s="8" t="s">
        <v>134</v>
      </c>
      <c r="B49" s="4" t="s">
        <v>59</v>
      </c>
      <c r="C49" s="5">
        <v>54</v>
      </c>
      <c r="D49" s="4" t="s">
        <v>19</v>
      </c>
      <c r="E49" s="4" t="s">
        <v>38</v>
      </c>
      <c r="F49" s="4" t="s">
        <v>39</v>
      </c>
      <c r="G49" s="4" t="s">
        <v>40</v>
      </c>
      <c r="H49" s="4" t="s">
        <v>33</v>
      </c>
      <c r="I49" s="21">
        <v>45376</v>
      </c>
      <c r="J49" s="21" t="str">
        <f>TEXT(Claims_data[[#This Row],[Service Date]],"mmm")</f>
        <v>Mar</v>
      </c>
      <c r="K49" s="4" t="s">
        <v>24</v>
      </c>
      <c r="L49" s="4" t="s">
        <v>25</v>
      </c>
      <c r="M49" s="6">
        <v>10422.19</v>
      </c>
      <c r="N49" s="6">
        <v>6300.41</v>
      </c>
      <c r="O49" s="6">
        <v>53.82</v>
      </c>
      <c r="P49" s="6">
        <v>6246.59</v>
      </c>
      <c r="Q49" s="4" t="s">
        <v>43</v>
      </c>
      <c r="R49" s="10" t="s">
        <v>44</v>
      </c>
      <c r="S49" s="30">
        <f>(Claims_data[[#This Row],[Billed Amount ($)]]-Claims_data[[#This Row],[Paid Amount ($)]])/Claims_data[[#This Row],[Billed Amount ($)]]</f>
        <v>0.40064516190934918</v>
      </c>
    </row>
    <row r="50" spans="1:19" x14ac:dyDescent="0.2">
      <c r="A50" s="7" t="s">
        <v>135</v>
      </c>
      <c r="B50" s="1" t="s">
        <v>136</v>
      </c>
      <c r="C50" s="2">
        <v>39</v>
      </c>
      <c r="D50" s="1" t="s">
        <v>37</v>
      </c>
      <c r="E50" s="1" t="s">
        <v>30</v>
      </c>
      <c r="F50" s="1" t="s">
        <v>39</v>
      </c>
      <c r="G50" s="1" t="s">
        <v>40</v>
      </c>
      <c r="H50" s="1" t="s">
        <v>33</v>
      </c>
      <c r="I50" s="20">
        <v>45414</v>
      </c>
      <c r="J50" s="20" t="str">
        <f>TEXT(Claims_data[[#This Row],[Service Date]],"mmm")</f>
        <v>May</v>
      </c>
      <c r="K50" s="1" t="s">
        <v>73</v>
      </c>
      <c r="L50" s="1" t="s">
        <v>74</v>
      </c>
      <c r="M50" s="3">
        <v>10043.69</v>
      </c>
      <c r="N50" s="3">
        <v>6941.11</v>
      </c>
      <c r="O50" s="3">
        <v>117.37</v>
      </c>
      <c r="P50" s="3">
        <v>6823.74</v>
      </c>
      <c r="Q50" s="1" t="s">
        <v>43</v>
      </c>
      <c r="R50" s="9" t="s">
        <v>27</v>
      </c>
      <c r="S50" s="30">
        <f>(Claims_data[[#This Row],[Billed Amount ($)]]-Claims_data[[#This Row],[Paid Amount ($)]])/Claims_data[[#This Row],[Billed Amount ($)]]</f>
        <v>0.32059432340106081</v>
      </c>
    </row>
    <row r="51" spans="1:19" x14ac:dyDescent="0.2">
      <c r="A51" s="8" t="s">
        <v>137</v>
      </c>
      <c r="B51" s="4" t="s">
        <v>138</v>
      </c>
      <c r="C51" s="5">
        <v>38</v>
      </c>
      <c r="D51" s="4" t="s">
        <v>19</v>
      </c>
      <c r="E51" s="4" t="s">
        <v>30</v>
      </c>
      <c r="F51" s="4" t="s">
        <v>31</v>
      </c>
      <c r="G51" s="4" t="s">
        <v>32</v>
      </c>
      <c r="H51" s="4" t="s">
        <v>33</v>
      </c>
      <c r="I51" s="21">
        <v>45300</v>
      </c>
      <c r="J51" s="21" t="str">
        <f>TEXT(Claims_data[[#This Row],[Service Date]],"mmm")</f>
        <v>Jan</v>
      </c>
      <c r="K51" s="4" t="s">
        <v>34</v>
      </c>
      <c r="L51" s="4" t="s">
        <v>35</v>
      </c>
      <c r="M51" s="6">
        <v>7512.83</v>
      </c>
      <c r="N51" s="6">
        <v>4669.7</v>
      </c>
      <c r="O51" s="6">
        <v>81.56</v>
      </c>
      <c r="P51" s="6">
        <v>4588.1400000000003</v>
      </c>
      <c r="Q51" s="4" t="s">
        <v>43</v>
      </c>
      <c r="R51" s="10" t="s">
        <v>44</v>
      </c>
      <c r="S51" s="30">
        <f>(Claims_data[[#This Row],[Billed Amount ($)]]-Claims_data[[#This Row],[Paid Amount ($)]])/Claims_data[[#This Row],[Billed Amount ($)]]</f>
        <v>0.38929271659281517</v>
      </c>
    </row>
    <row r="52" spans="1:19" x14ac:dyDescent="0.2">
      <c r="A52" s="7" t="s">
        <v>139</v>
      </c>
      <c r="B52" s="1" t="s">
        <v>140</v>
      </c>
      <c r="C52" s="2">
        <v>31</v>
      </c>
      <c r="D52" s="1" t="s">
        <v>37</v>
      </c>
      <c r="E52" s="1" t="s">
        <v>38</v>
      </c>
      <c r="F52" s="1" t="s">
        <v>82</v>
      </c>
      <c r="G52" s="1" t="s">
        <v>83</v>
      </c>
      <c r="H52" s="1" t="s">
        <v>33</v>
      </c>
      <c r="I52" s="20">
        <v>45584</v>
      </c>
      <c r="J52" s="20" t="str">
        <f>TEXT(Claims_data[[#This Row],[Service Date]],"mmm")</f>
        <v>Oct</v>
      </c>
      <c r="K52" s="1" t="s">
        <v>41</v>
      </c>
      <c r="L52" s="1" t="s">
        <v>42</v>
      </c>
      <c r="M52" s="3">
        <v>11570.26</v>
      </c>
      <c r="N52" s="3">
        <v>8857.1200000000008</v>
      </c>
      <c r="O52" s="3">
        <v>121.11</v>
      </c>
      <c r="P52" s="3">
        <v>8736.01</v>
      </c>
      <c r="Q52" s="1" t="s">
        <v>43</v>
      </c>
      <c r="R52" s="9" t="s">
        <v>44</v>
      </c>
      <c r="S52" s="30">
        <f>(Claims_data[[#This Row],[Billed Amount ($)]]-Claims_data[[#This Row],[Paid Amount ($)]])/Claims_data[[#This Row],[Billed Amount ($)]]</f>
        <v>0.24495992311322304</v>
      </c>
    </row>
    <row r="53" spans="1:19" x14ac:dyDescent="0.2">
      <c r="A53" s="8" t="s">
        <v>141</v>
      </c>
      <c r="B53" s="4" t="s">
        <v>57</v>
      </c>
      <c r="C53" s="5">
        <v>63</v>
      </c>
      <c r="D53" s="4" t="s">
        <v>37</v>
      </c>
      <c r="E53" s="4" t="s">
        <v>30</v>
      </c>
      <c r="F53" s="4" t="s">
        <v>31</v>
      </c>
      <c r="G53" s="4" t="s">
        <v>32</v>
      </c>
      <c r="H53" s="4" t="s">
        <v>33</v>
      </c>
      <c r="I53" s="21">
        <v>45348</v>
      </c>
      <c r="J53" s="21" t="str">
        <f>TEXT(Claims_data[[#This Row],[Service Date]],"mmm")</f>
        <v>Feb</v>
      </c>
      <c r="K53" s="4" t="s">
        <v>111</v>
      </c>
      <c r="L53" s="4" t="s">
        <v>112</v>
      </c>
      <c r="M53" s="6">
        <v>7166.36</v>
      </c>
      <c r="N53" s="6">
        <v>5727.15</v>
      </c>
      <c r="O53" s="6">
        <v>51.57</v>
      </c>
      <c r="P53" s="6">
        <v>5675.58</v>
      </c>
      <c r="Q53" s="4" t="s">
        <v>43</v>
      </c>
      <c r="R53" s="10" t="s">
        <v>27</v>
      </c>
      <c r="S53" s="30">
        <f>(Claims_data[[#This Row],[Billed Amount ($)]]-Claims_data[[#This Row],[Paid Amount ($)]])/Claims_data[[#This Row],[Billed Amount ($)]]</f>
        <v>0.20802471547619711</v>
      </c>
    </row>
    <row r="54" spans="1:19" x14ac:dyDescent="0.2">
      <c r="A54" s="7" t="s">
        <v>142</v>
      </c>
      <c r="B54" s="1" t="s">
        <v>29</v>
      </c>
      <c r="C54" s="2">
        <v>56</v>
      </c>
      <c r="D54" s="1" t="s">
        <v>37</v>
      </c>
      <c r="E54" s="1" t="s">
        <v>38</v>
      </c>
      <c r="F54" s="1" t="s">
        <v>82</v>
      </c>
      <c r="G54" s="1" t="s">
        <v>83</v>
      </c>
      <c r="H54" s="1" t="s">
        <v>33</v>
      </c>
      <c r="I54" s="20">
        <v>45485</v>
      </c>
      <c r="J54" s="20" t="str">
        <f>TEXT(Claims_data[[#This Row],[Service Date]],"mmm")</f>
        <v>Jul</v>
      </c>
      <c r="K54" s="1" t="s">
        <v>60</v>
      </c>
      <c r="L54" s="1" t="s">
        <v>61</v>
      </c>
      <c r="M54" s="3">
        <v>7989.03</v>
      </c>
      <c r="N54" s="3">
        <v>4559.24</v>
      </c>
      <c r="O54" s="3">
        <v>104.18</v>
      </c>
      <c r="P54" s="3">
        <v>4455.0600000000004</v>
      </c>
      <c r="Q54" s="1" t="s">
        <v>43</v>
      </c>
      <c r="R54" s="9" t="s">
        <v>44</v>
      </c>
      <c r="S54" s="30">
        <f>(Claims_data[[#This Row],[Billed Amount ($)]]-Claims_data[[#This Row],[Paid Amount ($)]])/Claims_data[[#This Row],[Billed Amount ($)]]</f>
        <v>0.44235282631308176</v>
      </c>
    </row>
    <row r="55" spans="1:19" x14ac:dyDescent="0.2">
      <c r="A55" s="8" t="s">
        <v>143</v>
      </c>
      <c r="B55" s="4" t="s">
        <v>122</v>
      </c>
      <c r="C55" s="5">
        <v>55</v>
      </c>
      <c r="D55" s="4" t="s">
        <v>19</v>
      </c>
      <c r="E55" s="4" t="s">
        <v>38</v>
      </c>
      <c r="F55" s="4" t="s">
        <v>39</v>
      </c>
      <c r="G55" s="4" t="s">
        <v>40</v>
      </c>
      <c r="H55" s="4" t="s">
        <v>33</v>
      </c>
      <c r="I55" s="21">
        <v>45378</v>
      </c>
      <c r="J55" s="21" t="str">
        <f>TEXT(Claims_data[[#This Row],[Service Date]],"mmm")</f>
        <v>Mar</v>
      </c>
      <c r="K55" s="4" t="s">
        <v>41</v>
      </c>
      <c r="L55" s="4" t="s">
        <v>42</v>
      </c>
      <c r="M55" s="6">
        <v>8845.4699999999993</v>
      </c>
      <c r="N55" s="6">
        <v>7427.03</v>
      </c>
      <c r="O55" s="6">
        <v>55.11</v>
      </c>
      <c r="P55" s="6">
        <v>7371.92</v>
      </c>
      <c r="Q55" s="4" t="s">
        <v>26</v>
      </c>
      <c r="R55" s="10" t="s">
        <v>44</v>
      </c>
      <c r="S55" s="30">
        <f>(Claims_data[[#This Row],[Billed Amount ($)]]-Claims_data[[#This Row],[Paid Amount ($)]])/Claims_data[[#This Row],[Billed Amount ($)]]</f>
        <v>0.16658809537537286</v>
      </c>
    </row>
    <row r="56" spans="1:19" x14ac:dyDescent="0.2">
      <c r="A56" s="7" t="s">
        <v>144</v>
      </c>
      <c r="B56" s="1" t="s">
        <v>96</v>
      </c>
      <c r="C56" s="2">
        <v>67</v>
      </c>
      <c r="D56" s="1" t="s">
        <v>19</v>
      </c>
      <c r="E56" s="1" t="s">
        <v>38</v>
      </c>
      <c r="F56" s="1" t="s">
        <v>31</v>
      </c>
      <c r="G56" s="1" t="s">
        <v>32</v>
      </c>
      <c r="H56" s="1" t="s">
        <v>33</v>
      </c>
      <c r="I56" s="20">
        <v>45323</v>
      </c>
      <c r="J56" s="20" t="str">
        <f>TEXT(Claims_data[[#This Row],[Service Date]],"mmm")</f>
        <v>Feb</v>
      </c>
      <c r="K56" s="1" t="s">
        <v>60</v>
      </c>
      <c r="L56" s="1" t="s">
        <v>61</v>
      </c>
      <c r="M56" s="3">
        <v>3455.3</v>
      </c>
      <c r="N56" s="3">
        <v>2367.71</v>
      </c>
      <c r="O56" s="3">
        <v>117.56</v>
      </c>
      <c r="P56" s="3">
        <v>2250.15</v>
      </c>
      <c r="Q56" s="1" t="s">
        <v>26</v>
      </c>
      <c r="R56" s="9" t="s">
        <v>44</v>
      </c>
      <c r="S56" s="30">
        <f>(Claims_data[[#This Row],[Billed Amount ($)]]-Claims_data[[#This Row],[Paid Amount ($)]])/Claims_data[[#This Row],[Billed Amount ($)]]</f>
        <v>0.34878302896998814</v>
      </c>
    </row>
    <row r="57" spans="1:19" x14ac:dyDescent="0.2">
      <c r="A57" s="8" t="s">
        <v>145</v>
      </c>
      <c r="B57" s="4" t="s">
        <v>146</v>
      </c>
      <c r="C57" s="5">
        <v>42</v>
      </c>
      <c r="D57" s="4" t="s">
        <v>37</v>
      </c>
      <c r="E57" s="4" t="s">
        <v>30</v>
      </c>
      <c r="F57" s="4" t="s">
        <v>31</v>
      </c>
      <c r="G57" s="4" t="s">
        <v>32</v>
      </c>
      <c r="H57" s="4" t="s">
        <v>33</v>
      </c>
      <c r="I57" s="21">
        <v>45511</v>
      </c>
      <c r="J57" s="21" t="str">
        <f>TEXT(Claims_data[[#This Row],[Service Date]],"mmm")</f>
        <v>Aug</v>
      </c>
      <c r="K57" s="4" t="s">
        <v>60</v>
      </c>
      <c r="L57" s="4" t="s">
        <v>61</v>
      </c>
      <c r="M57" s="6">
        <v>2663.62</v>
      </c>
      <c r="N57" s="6">
        <v>2102.5300000000002</v>
      </c>
      <c r="O57" s="6">
        <v>64.239999999999995</v>
      </c>
      <c r="P57" s="6">
        <v>2038.29</v>
      </c>
      <c r="Q57" s="4" t="s">
        <v>26</v>
      </c>
      <c r="R57" s="10" t="s">
        <v>27</v>
      </c>
      <c r="S57" s="30">
        <f>(Claims_data[[#This Row],[Billed Amount ($)]]-Claims_data[[#This Row],[Paid Amount ($)]])/Claims_data[[#This Row],[Billed Amount ($)]]</f>
        <v>0.23476697126466986</v>
      </c>
    </row>
    <row r="58" spans="1:19" x14ac:dyDescent="0.2">
      <c r="A58" s="7" t="s">
        <v>147</v>
      </c>
      <c r="B58" s="1" t="s">
        <v>148</v>
      </c>
      <c r="C58" s="2">
        <v>75</v>
      </c>
      <c r="D58" s="1" t="s">
        <v>37</v>
      </c>
      <c r="E58" s="1" t="s">
        <v>20</v>
      </c>
      <c r="F58" s="1" t="s">
        <v>39</v>
      </c>
      <c r="G58" s="1" t="s">
        <v>40</v>
      </c>
      <c r="H58" s="1" t="s">
        <v>33</v>
      </c>
      <c r="I58" s="20">
        <v>45514</v>
      </c>
      <c r="J58" s="20" t="str">
        <f>TEXT(Claims_data[[#This Row],[Service Date]],"mmm")</f>
        <v>Aug</v>
      </c>
      <c r="K58" s="1" t="s">
        <v>34</v>
      </c>
      <c r="L58" s="1" t="s">
        <v>35</v>
      </c>
      <c r="M58" s="3">
        <v>6728.84</v>
      </c>
      <c r="N58" s="3">
        <v>4185.99</v>
      </c>
      <c r="O58" s="3">
        <v>81.89</v>
      </c>
      <c r="P58" s="3">
        <v>0</v>
      </c>
      <c r="Q58" s="1" t="s">
        <v>51</v>
      </c>
      <c r="R58" s="9" t="s">
        <v>27</v>
      </c>
      <c r="S58" s="30">
        <f>(Claims_data[[#This Row],[Billed Amount ($)]]-Claims_data[[#This Row],[Paid Amount ($)]])/Claims_data[[#This Row],[Billed Amount ($)]]</f>
        <v>1</v>
      </c>
    </row>
    <row r="59" spans="1:19" x14ac:dyDescent="0.2">
      <c r="A59" s="8" t="s">
        <v>149</v>
      </c>
      <c r="B59" s="4" t="s">
        <v>63</v>
      </c>
      <c r="C59" s="5">
        <v>72</v>
      </c>
      <c r="D59" s="4" t="s">
        <v>19</v>
      </c>
      <c r="E59" s="4" t="s">
        <v>38</v>
      </c>
      <c r="F59" s="4" t="s">
        <v>31</v>
      </c>
      <c r="G59" s="4" t="s">
        <v>32</v>
      </c>
      <c r="H59" s="4" t="s">
        <v>33</v>
      </c>
      <c r="I59" s="21">
        <v>45435</v>
      </c>
      <c r="J59" s="21" t="str">
        <f>TEXT(Claims_data[[#This Row],[Service Date]],"mmm")</f>
        <v>May</v>
      </c>
      <c r="K59" s="4" t="s">
        <v>111</v>
      </c>
      <c r="L59" s="4" t="s">
        <v>112</v>
      </c>
      <c r="M59" s="6">
        <v>8017.93</v>
      </c>
      <c r="N59" s="6">
        <v>5297.5</v>
      </c>
      <c r="O59" s="6">
        <v>91.95</v>
      </c>
      <c r="P59" s="6">
        <v>5205.55</v>
      </c>
      <c r="Q59" s="4" t="s">
        <v>43</v>
      </c>
      <c r="R59" s="10" t="s">
        <v>44</v>
      </c>
      <c r="S59" s="30">
        <f>(Claims_data[[#This Row],[Billed Amount ($)]]-Claims_data[[#This Row],[Paid Amount ($)]])/Claims_data[[#This Row],[Billed Amount ($)]]</f>
        <v>0.3507613561106171</v>
      </c>
    </row>
    <row r="60" spans="1:19" x14ac:dyDescent="0.2">
      <c r="A60" s="7" t="s">
        <v>150</v>
      </c>
      <c r="B60" s="1" t="s">
        <v>68</v>
      </c>
      <c r="C60" s="2">
        <v>69</v>
      </c>
      <c r="D60" s="1" t="s">
        <v>37</v>
      </c>
      <c r="E60" s="1" t="s">
        <v>20</v>
      </c>
      <c r="F60" s="1" t="s">
        <v>46</v>
      </c>
      <c r="G60" s="1" t="s">
        <v>47</v>
      </c>
      <c r="H60" s="1" t="s">
        <v>48</v>
      </c>
      <c r="I60" s="20">
        <v>45419</v>
      </c>
      <c r="J60" s="20" t="str">
        <f>TEXT(Claims_data[[#This Row],[Service Date]],"mmm")</f>
        <v>May</v>
      </c>
      <c r="K60" s="1" t="s">
        <v>73</v>
      </c>
      <c r="L60" s="1" t="s">
        <v>74</v>
      </c>
      <c r="M60" s="3">
        <v>2881.88</v>
      </c>
      <c r="N60" s="3">
        <v>2208.63</v>
      </c>
      <c r="O60" s="3">
        <v>61.02</v>
      </c>
      <c r="P60" s="3">
        <v>2147.61</v>
      </c>
      <c r="Q60" s="1" t="s">
        <v>26</v>
      </c>
      <c r="R60" s="9" t="s">
        <v>44</v>
      </c>
      <c r="S60" s="30">
        <f>(Claims_data[[#This Row],[Billed Amount ($)]]-Claims_data[[#This Row],[Paid Amount ($)]])/Claims_data[[#This Row],[Billed Amount ($)]]</f>
        <v>0.2547885408136355</v>
      </c>
    </row>
    <row r="61" spans="1:19" x14ac:dyDescent="0.2">
      <c r="A61" s="8" t="s">
        <v>151</v>
      </c>
      <c r="B61" s="4" t="s">
        <v>53</v>
      </c>
      <c r="C61" s="5">
        <v>48</v>
      </c>
      <c r="D61" s="4" t="s">
        <v>37</v>
      </c>
      <c r="E61" s="4" t="s">
        <v>38</v>
      </c>
      <c r="F61" s="4" t="s">
        <v>82</v>
      </c>
      <c r="G61" s="4" t="s">
        <v>83</v>
      </c>
      <c r="H61" s="4" t="s">
        <v>33</v>
      </c>
      <c r="I61" s="21">
        <v>45536</v>
      </c>
      <c r="J61" s="21" t="str">
        <f>TEXT(Claims_data[[#This Row],[Service Date]],"mmm")</f>
        <v>Sep</v>
      </c>
      <c r="K61" s="4" t="s">
        <v>73</v>
      </c>
      <c r="L61" s="4" t="s">
        <v>74</v>
      </c>
      <c r="M61" s="6">
        <v>7221.97</v>
      </c>
      <c r="N61" s="6">
        <v>6096.45</v>
      </c>
      <c r="O61" s="6">
        <v>128.24</v>
      </c>
      <c r="P61" s="6">
        <v>5968.21</v>
      </c>
      <c r="Q61" s="4" t="s">
        <v>43</v>
      </c>
      <c r="R61" s="10" t="s">
        <v>27</v>
      </c>
      <c r="S61" s="30">
        <f>(Claims_data[[#This Row],[Billed Amount ($)]]-Claims_data[[#This Row],[Paid Amount ($)]])/Claims_data[[#This Row],[Billed Amount ($)]]</f>
        <v>0.17360360123345847</v>
      </c>
    </row>
    <row r="62" spans="1:19" x14ac:dyDescent="0.2">
      <c r="A62" s="7" t="s">
        <v>152</v>
      </c>
      <c r="B62" s="1" t="s">
        <v>81</v>
      </c>
      <c r="C62" s="2">
        <v>25</v>
      </c>
      <c r="D62" s="1" t="s">
        <v>19</v>
      </c>
      <c r="E62" s="1" t="s">
        <v>38</v>
      </c>
      <c r="F62" s="1" t="s">
        <v>21</v>
      </c>
      <c r="G62" s="1" t="s">
        <v>22</v>
      </c>
      <c r="H62" s="1" t="s">
        <v>23</v>
      </c>
      <c r="I62" s="20">
        <v>45307</v>
      </c>
      <c r="J62" s="20" t="str">
        <f>TEXT(Claims_data[[#This Row],[Service Date]],"mmm")</f>
        <v>Jan</v>
      </c>
      <c r="K62" s="1" t="s">
        <v>73</v>
      </c>
      <c r="L62" s="1" t="s">
        <v>74</v>
      </c>
      <c r="M62" s="3">
        <v>6707.3</v>
      </c>
      <c r="N62" s="3">
        <v>5092.3500000000004</v>
      </c>
      <c r="O62" s="3">
        <v>36.42</v>
      </c>
      <c r="P62" s="3">
        <v>0</v>
      </c>
      <c r="Q62" s="1" t="s">
        <v>51</v>
      </c>
      <c r="R62" s="9" t="s">
        <v>44</v>
      </c>
      <c r="S62" s="30">
        <f>(Claims_data[[#This Row],[Billed Amount ($)]]-Claims_data[[#This Row],[Paid Amount ($)]])/Claims_data[[#This Row],[Billed Amount ($)]]</f>
        <v>1</v>
      </c>
    </row>
    <row r="63" spans="1:19" x14ac:dyDescent="0.2">
      <c r="A63" s="8" t="s">
        <v>153</v>
      </c>
      <c r="B63" s="4" t="s">
        <v>154</v>
      </c>
      <c r="C63" s="5">
        <v>56</v>
      </c>
      <c r="D63" s="4" t="s">
        <v>37</v>
      </c>
      <c r="E63" s="4" t="s">
        <v>30</v>
      </c>
      <c r="F63" s="4" t="s">
        <v>31</v>
      </c>
      <c r="G63" s="4" t="s">
        <v>32</v>
      </c>
      <c r="H63" s="4" t="s">
        <v>33</v>
      </c>
      <c r="I63" s="21">
        <v>45312</v>
      </c>
      <c r="J63" s="21" t="str">
        <f>TEXT(Claims_data[[#This Row],[Service Date]],"mmm")</f>
        <v>Jan</v>
      </c>
      <c r="K63" s="4" t="s">
        <v>60</v>
      </c>
      <c r="L63" s="4" t="s">
        <v>61</v>
      </c>
      <c r="M63" s="6">
        <v>3141.87</v>
      </c>
      <c r="N63" s="6">
        <v>2540.25</v>
      </c>
      <c r="O63" s="6">
        <v>34.83</v>
      </c>
      <c r="P63" s="6">
        <v>2505.42</v>
      </c>
      <c r="Q63" s="4" t="s">
        <v>43</v>
      </c>
      <c r="R63" s="10" t="s">
        <v>27</v>
      </c>
      <c r="S63" s="30">
        <f>(Claims_data[[#This Row],[Billed Amount ($)]]-Claims_data[[#This Row],[Paid Amount ($)]])/Claims_data[[#This Row],[Billed Amount ($)]]</f>
        <v>0.20257044371664004</v>
      </c>
    </row>
    <row r="64" spans="1:19" x14ac:dyDescent="0.2">
      <c r="A64" s="7" t="s">
        <v>155</v>
      </c>
      <c r="B64" s="1" t="s">
        <v>68</v>
      </c>
      <c r="C64" s="2">
        <v>51</v>
      </c>
      <c r="D64" s="1" t="s">
        <v>37</v>
      </c>
      <c r="E64" s="1" t="s">
        <v>30</v>
      </c>
      <c r="F64" s="1" t="s">
        <v>31</v>
      </c>
      <c r="G64" s="1" t="s">
        <v>32</v>
      </c>
      <c r="H64" s="1" t="s">
        <v>33</v>
      </c>
      <c r="I64" s="20">
        <v>45578</v>
      </c>
      <c r="J64" s="20" t="str">
        <f>TEXT(Claims_data[[#This Row],[Service Date]],"mmm")</f>
        <v>Oct</v>
      </c>
      <c r="K64" s="1" t="s">
        <v>41</v>
      </c>
      <c r="L64" s="1" t="s">
        <v>42</v>
      </c>
      <c r="M64" s="3">
        <v>11397.14</v>
      </c>
      <c r="N64" s="3">
        <v>6559.67</v>
      </c>
      <c r="O64" s="3">
        <v>52.26</v>
      </c>
      <c r="P64" s="3">
        <v>6507.41</v>
      </c>
      <c r="Q64" s="1" t="s">
        <v>26</v>
      </c>
      <c r="R64" s="9" t="s">
        <v>44</v>
      </c>
      <c r="S64" s="30">
        <f>(Claims_data[[#This Row],[Billed Amount ($)]]-Claims_data[[#This Row],[Paid Amount ($)]])/Claims_data[[#This Row],[Billed Amount ($)]]</f>
        <v>0.42903131838338388</v>
      </c>
    </row>
    <row r="65" spans="1:19" x14ac:dyDescent="0.2">
      <c r="A65" s="8" t="s">
        <v>156</v>
      </c>
      <c r="B65" s="4" t="s">
        <v>105</v>
      </c>
      <c r="C65" s="5">
        <v>31</v>
      </c>
      <c r="D65" s="4" t="s">
        <v>37</v>
      </c>
      <c r="E65" s="4" t="s">
        <v>30</v>
      </c>
      <c r="F65" s="4" t="s">
        <v>46</v>
      </c>
      <c r="G65" s="4" t="s">
        <v>47</v>
      </c>
      <c r="H65" s="4" t="s">
        <v>48</v>
      </c>
      <c r="I65" s="21">
        <v>45572</v>
      </c>
      <c r="J65" s="21" t="str">
        <f>TEXT(Claims_data[[#This Row],[Service Date]],"mmm")</f>
        <v>Oct</v>
      </c>
      <c r="K65" s="4" t="s">
        <v>85</v>
      </c>
      <c r="L65" s="4" t="s">
        <v>86</v>
      </c>
      <c r="M65" s="6">
        <v>11881.87</v>
      </c>
      <c r="N65" s="6">
        <v>7623.58</v>
      </c>
      <c r="O65" s="6">
        <v>100.73</v>
      </c>
      <c r="P65" s="6">
        <v>7522.85</v>
      </c>
      <c r="Q65" s="4" t="s">
        <v>26</v>
      </c>
      <c r="R65" s="10" t="s">
        <v>44</v>
      </c>
      <c r="S65" s="30">
        <f>(Claims_data[[#This Row],[Billed Amount ($)]]-Claims_data[[#This Row],[Paid Amount ($)]])/Claims_data[[#This Row],[Billed Amount ($)]]</f>
        <v>0.36686312844695323</v>
      </c>
    </row>
    <row r="66" spans="1:19" x14ac:dyDescent="0.2">
      <c r="A66" s="7" t="s">
        <v>157</v>
      </c>
      <c r="B66" s="1" t="s">
        <v>146</v>
      </c>
      <c r="C66" s="2">
        <v>63</v>
      </c>
      <c r="D66" s="1" t="s">
        <v>19</v>
      </c>
      <c r="E66" s="1" t="s">
        <v>38</v>
      </c>
      <c r="F66" s="1" t="s">
        <v>31</v>
      </c>
      <c r="G66" s="1" t="s">
        <v>32</v>
      </c>
      <c r="H66" s="1" t="s">
        <v>33</v>
      </c>
      <c r="I66" s="20">
        <v>45384</v>
      </c>
      <c r="J66" s="20" t="str">
        <f>TEXT(Claims_data[[#This Row],[Service Date]],"mmm")</f>
        <v>Apr</v>
      </c>
      <c r="K66" s="1" t="s">
        <v>24</v>
      </c>
      <c r="L66" s="1" t="s">
        <v>25</v>
      </c>
      <c r="M66" s="3">
        <v>2209.69</v>
      </c>
      <c r="N66" s="3">
        <v>1265.0899999999999</v>
      </c>
      <c r="O66" s="3">
        <v>20.350000000000001</v>
      </c>
      <c r="P66" s="3">
        <v>0</v>
      </c>
      <c r="Q66" s="1" t="s">
        <v>51</v>
      </c>
      <c r="R66" s="9" t="s">
        <v>27</v>
      </c>
      <c r="S66" s="30">
        <f>(Claims_data[[#This Row],[Billed Amount ($)]]-Claims_data[[#This Row],[Paid Amount ($)]])/Claims_data[[#This Row],[Billed Amount ($)]]</f>
        <v>1</v>
      </c>
    </row>
    <row r="67" spans="1:19" x14ac:dyDescent="0.2">
      <c r="A67" s="8" t="s">
        <v>158</v>
      </c>
      <c r="B67" s="4" t="s">
        <v>128</v>
      </c>
      <c r="C67" s="5">
        <v>62</v>
      </c>
      <c r="D67" s="4" t="s">
        <v>37</v>
      </c>
      <c r="E67" s="4" t="s">
        <v>38</v>
      </c>
      <c r="F67" s="4" t="s">
        <v>46</v>
      </c>
      <c r="G67" s="4" t="s">
        <v>47</v>
      </c>
      <c r="H67" s="4" t="s">
        <v>48</v>
      </c>
      <c r="I67" s="21">
        <v>45630</v>
      </c>
      <c r="J67" s="21" t="str">
        <f>TEXT(Claims_data[[#This Row],[Service Date]],"mmm")</f>
        <v>Dec</v>
      </c>
      <c r="K67" s="4" t="s">
        <v>73</v>
      </c>
      <c r="L67" s="4" t="s">
        <v>74</v>
      </c>
      <c r="M67" s="6">
        <v>10336.34</v>
      </c>
      <c r="N67" s="6">
        <v>5905.71</v>
      </c>
      <c r="O67" s="6">
        <v>50.35</v>
      </c>
      <c r="P67" s="6">
        <v>5855.36</v>
      </c>
      <c r="Q67" s="4" t="s">
        <v>43</v>
      </c>
      <c r="R67" s="10" t="s">
        <v>27</v>
      </c>
      <c r="S67" s="30">
        <f>(Claims_data[[#This Row],[Billed Amount ($)]]-Claims_data[[#This Row],[Paid Amount ($)]])/Claims_data[[#This Row],[Billed Amount ($)]]</f>
        <v>0.43351708631875502</v>
      </c>
    </row>
    <row r="68" spans="1:19" x14ac:dyDescent="0.2">
      <c r="A68" s="7" t="s">
        <v>159</v>
      </c>
      <c r="B68" s="1" t="s">
        <v>120</v>
      </c>
      <c r="C68" s="2">
        <v>53</v>
      </c>
      <c r="D68" s="1" t="s">
        <v>37</v>
      </c>
      <c r="E68" s="1" t="s">
        <v>38</v>
      </c>
      <c r="F68" s="1" t="s">
        <v>46</v>
      </c>
      <c r="G68" s="1" t="s">
        <v>47</v>
      </c>
      <c r="H68" s="1" t="s">
        <v>48</v>
      </c>
      <c r="I68" s="20">
        <v>45374</v>
      </c>
      <c r="J68" s="20" t="str">
        <f>TEXT(Claims_data[[#This Row],[Service Date]],"mmm")</f>
        <v>Mar</v>
      </c>
      <c r="K68" s="1" t="s">
        <v>41</v>
      </c>
      <c r="L68" s="1" t="s">
        <v>42</v>
      </c>
      <c r="M68" s="3">
        <v>996.21</v>
      </c>
      <c r="N68" s="3">
        <v>597.5</v>
      </c>
      <c r="O68" s="3">
        <v>59.99</v>
      </c>
      <c r="P68" s="3">
        <v>537.51</v>
      </c>
      <c r="Q68" s="1" t="s">
        <v>26</v>
      </c>
      <c r="R68" s="9" t="s">
        <v>44</v>
      </c>
      <c r="S68" s="30">
        <f>(Claims_data[[#This Row],[Billed Amount ($)]]-Claims_data[[#This Row],[Paid Amount ($)]])/Claims_data[[#This Row],[Billed Amount ($)]]</f>
        <v>0.46044508687927249</v>
      </c>
    </row>
    <row r="69" spans="1:19" x14ac:dyDescent="0.2">
      <c r="A69" s="8" t="s">
        <v>160</v>
      </c>
      <c r="B69" s="4" t="s">
        <v>105</v>
      </c>
      <c r="C69" s="5">
        <v>45</v>
      </c>
      <c r="D69" s="4" t="s">
        <v>19</v>
      </c>
      <c r="E69" s="4" t="s">
        <v>20</v>
      </c>
      <c r="F69" s="4" t="s">
        <v>46</v>
      </c>
      <c r="G69" s="4" t="s">
        <v>47</v>
      </c>
      <c r="H69" s="4" t="s">
        <v>48</v>
      </c>
      <c r="I69" s="21">
        <v>45538</v>
      </c>
      <c r="J69" s="21" t="str">
        <f>TEXT(Claims_data[[#This Row],[Service Date]],"mmm")</f>
        <v>Sep</v>
      </c>
      <c r="K69" s="4" t="s">
        <v>111</v>
      </c>
      <c r="L69" s="4" t="s">
        <v>112</v>
      </c>
      <c r="M69" s="6">
        <v>6548.78</v>
      </c>
      <c r="N69" s="6">
        <v>4461.8599999999997</v>
      </c>
      <c r="O69" s="6">
        <v>97.74</v>
      </c>
      <c r="P69" s="6">
        <v>0</v>
      </c>
      <c r="Q69" s="4" t="s">
        <v>51</v>
      </c>
      <c r="R69" s="10" t="s">
        <v>27</v>
      </c>
      <c r="S69" s="30">
        <f>(Claims_data[[#This Row],[Billed Amount ($)]]-Claims_data[[#This Row],[Paid Amount ($)]])/Claims_data[[#This Row],[Billed Amount ($)]]</f>
        <v>1</v>
      </c>
    </row>
    <row r="70" spans="1:19" x14ac:dyDescent="0.2">
      <c r="A70" s="7" t="s">
        <v>161</v>
      </c>
      <c r="B70" s="1" t="s">
        <v>68</v>
      </c>
      <c r="C70" s="2">
        <v>73</v>
      </c>
      <c r="D70" s="1" t="s">
        <v>37</v>
      </c>
      <c r="E70" s="1" t="s">
        <v>38</v>
      </c>
      <c r="F70" s="1" t="s">
        <v>82</v>
      </c>
      <c r="G70" s="1" t="s">
        <v>83</v>
      </c>
      <c r="H70" s="1" t="s">
        <v>33</v>
      </c>
      <c r="I70" s="20">
        <v>45308</v>
      </c>
      <c r="J70" s="20" t="str">
        <f>TEXT(Claims_data[[#This Row],[Service Date]],"mmm")</f>
        <v>Jan</v>
      </c>
      <c r="K70" s="1" t="s">
        <v>49</v>
      </c>
      <c r="L70" s="1" t="s">
        <v>50</v>
      </c>
      <c r="M70" s="3">
        <v>11994.93</v>
      </c>
      <c r="N70" s="3">
        <v>9016.4</v>
      </c>
      <c r="O70" s="3">
        <v>55.04</v>
      </c>
      <c r="P70" s="3">
        <v>8961.36</v>
      </c>
      <c r="Q70" s="1" t="s">
        <v>43</v>
      </c>
      <c r="R70" s="9" t="s">
        <v>44</v>
      </c>
      <c r="S70" s="30">
        <f>(Claims_data[[#This Row],[Billed Amount ($)]]-Claims_data[[#This Row],[Paid Amount ($)]])/Claims_data[[#This Row],[Billed Amount ($)]]</f>
        <v>0.25290435208875744</v>
      </c>
    </row>
    <row r="71" spans="1:19" x14ac:dyDescent="0.2">
      <c r="A71" s="8" t="s">
        <v>162</v>
      </c>
      <c r="B71" s="4" t="s">
        <v>136</v>
      </c>
      <c r="C71" s="5">
        <v>51</v>
      </c>
      <c r="D71" s="4" t="s">
        <v>19</v>
      </c>
      <c r="E71" s="4" t="s">
        <v>38</v>
      </c>
      <c r="F71" s="4" t="s">
        <v>31</v>
      </c>
      <c r="G71" s="4" t="s">
        <v>32</v>
      </c>
      <c r="H71" s="4" t="s">
        <v>33</v>
      </c>
      <c r="I71" s="21">
        <v>45587</v>
      </c>
      <c r="J71" s="21" t="str">
        <f>TEXT(Claims_data[[#This Row],[Service Date]],"mmm")</f>
        <v>Oct</v>
      </c>
      <c r="K71" s="4" t="s">
        <v>73</v>
      </c>
      <c r="L71" s="4" t="s">
        <v>74</v>
      </c>
      <c r="M71" s="6">
        <v>5315.24</v>
      </c>
      <c r="N71" s="6">
        <v>4221.75</v>
      </c>
      <c r="O71" s="6">
        <v>145.97999999999999</v>
      </c>
      <c r="P71" s="6">
        <v>0</v>
      </c>
      <c r="Q71" s="4" t="s">
        <v>51</v>
      </c>
      <c r="R71" s="10" t="s">
        <v>27</v>
      </c>
      <c r="S71" s="30">
        <f>(Claims_data[[#This Row],[Billed Amount ($)]]-Claims_data[[#This Row],[Paid Amount ($)]])/Claims_data[[#This Row],[Billed Amount ($)]]</f>
        <v>1</v>
      </c>
    </row>
    <row r="72" spans="1:19" x14ac:dyDescent="0.2">
      <c r="A72" s="7" t="s">
        <v>163</v>
      </c>
      <c r="B72" s="1" t="s">
        <v>164</v>
      </c>
      <c r="C72" s="2">
        <v>54</v>
      </c>
      <c r="D72" s="1" t="s">
        <v>37</v>
      </c>
      <c r="E72" s="1" t="s">
        <v>38</v>
      </c>
      <c r="F72" s="1" t="s">
        <v>46</v>
      </c>
      <c r="G72" s="1" t="s">
        <v>47</v>
      </c>
      <c r="H72" s="1" t="s">
        <v>48</v>
      </c>
      <c r="I72" s="20">
        <v>45482</v>
      </c>
      <c r="J72" s="20" t="str">
        <f>TEXT(Claims_data[[#This Row],[Service Date]],"mmm")</f>
        <v>Jul</v>
      </c>
      <c r="K72" s="1" t="s">
        <v>41</v>
      </c>
      <c r="L72" s="1" t="s">
        <v>42</v>
      </c>
      <c r="M72" s="3">
        <v>8370.0300000000007</v>
      </c>
      <c r="N72" s="3">
        <v>5327.23</v>
      </c>
      <c r="O72" s="3">
        <v>142.88</v>
      </c>
      <c r="P72" s="3">
        <v>5184.3500000000004</v>
      </c>
      <c r="Q72" s="1" t="s">
        <v>26</v>
      </c>
      <c r="R72" s="9" t="s">
        <v>44</v>
      </c>
      <c r="S72" s="30">
        <f>(Claims_data[[#This Row],[Billed Amount ($)]]-Claims_data[[#This Row],[Paid Amount ($)]])/Claims_data[[#This Row],[Billed Amount ($)]]</f>
        <v>0.38060556533250178</v>
      </c>
    </row>
    <row r="73" spans="1:19" x14ac:dyDescent="0.2">
      <c r="A73" s="8" t="s">
        <v>165</v>
      </c>
      <c r="B73" s="4" t="s">
        <v>29</v>
      </c>
      <c r="C73" s="5">
        <v>28</v>
      </c>
      <c r="D73" s="4" t="s">
        <v>37</v>
      </c>
      <c r="E73" s="4" t="s">
        <v>30</v>
      </c>
      <c r="F73" s="4" t="s">
        <v>39</v>
      </c>
      <c r="G73" s="4" t="s">
        <v>40</v>
      </c>
      <c r="H73" s="4" t="s">
        <v>33</v>
      </c>
      <c r="I73" s="21">
        <v>45547</v>
      </c>
      <c r="J73" s="21" t="str">
        <f>TEXT(Claims_data[[#This Row],[Service Date]],"mmm")</f>
        <v>Sep</v>
      </c>
      <c r="K73" s="4" t="s">
        <v>24</v>
      </c>
      <c r="L73" s="4" t="s">
        <v>25</v>
      </c>
      <c r="M73" s="6">
        <v>9925.39</v>
      </c>
      <c r="N73" s="6">
        <v>5462.39</v>
      </c>
      <c r="O73" s="6">
        <v>133.02000000000001</v>
      </c>
      <c r="P73" s="6">
        <v>0</v>
      </c>
      <c r="Q73" s="4" t="s">
        <v>51</v>
      </c>
      <c r="R73" s="10" t="s">
        <v>44</v>
      </c>
      <c r="S73" s="30">
        <f>(Claims_data[[#This Row],[Billed Amount ($)]]-Claims_data[[#This Row],[Paid Amount ($)]])/Claims_data[[#This Row],[Billed Amount ($)]]</f>
        <v>1</v>
      </c>
    </row>
    <row r="74" spans="1:19" x14ac:dyDescent="0.2">
      <c r="A74" s="7" t="s">
        <v>166</v>
      </c>
      <c r="B74" s="1" t="s">
        <v>167</v>
      </c>
      <c r="C74" s="2">
        <v>26</v>
      </c>
      <c r="D74" s="1" t="s">
        <v>37</v>
      </c>
      <c r="E74" s="1" t="s">
        <v>30</v>
      </c>
      <c r="F74" s="1" t="s">
        <v>21</v>
      </c>
      <c r="G74" s="1" t="s">
        <v>22</v>
      </c>
      <c r="H74" s="1" t="s">
        <v>23</v>
      </c>
      <c r="I74" s="20">
        <v>45388</v>
      </c>
      <c r="J74" s="20" t="str">
        <f>TEXT(Claims_data[[#This Row],[Service Date]],"mmm")</f>
        <v>Apr</v>
      </c>
      <c r="K74" s="1" t="s">
        <v>85</v>
      </c>
      <c r="L74" s="1" t="s">
        <v>86</v>
      </c>
      <c r="M74" s="3">
        <v>3314.62</v>
      </c>
      <c r="N74" s="3">
        <v>1953.32</v>
      </c>
      <c r="O74" s="3">
        <v>57.44</v>
      </c>
      <c r="P74" s="3">
        <v>0</v>
      </c>
      <c r="Q74" s="1" t="s">
        <v>51</v>
      </c>
      <c r="R74" s="9" t="s">
        <v>44</v>
      </c>
      <c r="S74" s="30">
        <f>(Claims_data[[#This Row],[Billed Amount ($)]]-Claims_data[[#This Row],[Paid Amount ($)]])/Claims_data[[#This Row],[Billed Amount ($)]]</f>
        <v>1</v>
      </c>
    </row>
    <row r="75" spans="1:19" x14ac:dyDescent="0.2">
      <c r="A75" s="8" t="s">
        <v>168</v>
      </c>
      <c r="B75" s="4" t="s">
        <v>98</v>
      </c>
      <c r="C75" s="5">
        <v>32</v>
      </c>
      <c r="D75" s="4" t="s">
        <v>37</v>
      </c>
      <c r="E75" s="4" t="s">
        <v>38</v>
      </c>
      <c r="F75" s="4" t="s">
        <v>21</v>
      </c>
      <c r="G75" s="4" t="s">
        <v>22</v>
      </c>
      <c r="H75" s="4" t="s">
        <v>23</v>
      </c>
      <c r="I75" s="21">
        <v>45558</v>
      </c>
      <c r="J75" s="21" t="str">
        <f>TEXT(Claims_data[[#This Row],[Service Date]],"mmm")</f>
        <v>Sep</v>
      </c>
      <c r="K75" s="4" t="s">
        <v>65</v>
      </c>
      <c r="L75" s="4" t="s">
        <v>66</v>
      </c>
      <c r="M75" s="6">
        <v>4984.6899999999996</v>
      </c>
      <c r="N75" s="6">
        <v>3077.6</v>
      </c>
      <c r="O75" s="6">
        <v>129.38</v>
      </c>
      <c r="P75" s="6">
        <v>2948.22</v>
      </c>
      <c r="Q75" s="4" t="s">
        <v>43</v>
      </c>
      <c r="R75" s="10" t="s">
        <v>44</v>
      </c>
      <c r="S75" s="30">
        <f>(Claims_data[[#This Row],[Billed Amount ($)]]-Claims_data[[#This Row],[Paid Amount ($)]])/Claims_data[[#This Row],[Billed Amount ($)]]</f>
        <v>0.40854496468185586</v>
      </c>
    </row>
    <row r="76" spans="1:19" x14ac:dyDescent="0.2">
      <c r="A76" s="7" t="s">
        <v>169</v>
      </c>
      <c r="B76" s="1" t="s">
        <v>92</v>
      </c>
      <c r="C76" s="2">
        <v>49</v>
      </c>
      <c r="D76" s="1" t="s">
        <v>37</v>
      </c>
      <c r="E76" s="1" t="s">
        <v>30</v>
      </c>
      <c r="F76" s="1" t="s">
        <v>46</v>
      </c>
      <c r="G76" s="1" t="s">
        <v>47</v>
      </c>
      <c r="H76" s="1" t="s">
        <v>48</v>
      </c>
      <c r="I76" s="20">
        <v>45490</v>
      </c>
      <c r="J76" s="20" t="str">
        <f>TEXT(Claims_data[[#This Row],[Service Date]],"mmm")</f>
        <v>Jul</v>
      </c>
      <c r="K76" s="1" t="s">
        <v>65</v>
      </c>
      <c r="L76" s="1" t="s">
        <v>66</v>
      </c>
      <c r="M76" s="3">
        <v>10041.48</v>
      </c>
      <c r="N76" s="3">
        <v>8475.75</v>
      </c>
      <c r="O76" s="3">
        <v>51.69</v>
      </c>
      <c r="P76" s="3">
        <v>8424.06</v>
      </c>
      <c r="Q76" s="1" t="s">
        <v>26</v>
      </c>
      <c r="R76" s="9" t="s">
        <v>27</v>
      </c>
      <c r="S76" s="30">
        <f>(Claims_data[[#This Row],[Billed Amount ($)]]-Claims_data[[#This Row],[Paid Amount ($)]])/Claims_data[[#This Row],[Billed Amount ($)]]</f>
        <v>0.16107386560546852</v>
      </c>
    </row>
    <row r="77" spans="1:19" x14ac:dyDescent="0.2">
      <c r="A77" s="8" t="s">
        <v>170</v>
      </c>
      <c r="B77" s="4" t="s">
        <v>120</v>
      </c>
      <c r="C77" s="5">
        <v>71</v>
      </c>
      <c r="D77" s="4" t="s">
        <v>19</v>
      </c>
      <c r="E77" s="4" t="s">
        <v>30</v>
      </c>
      <c r="F77" s="4" t="s">
        <v>46</v>
      </c>
      <c r="G77" s="4" t="s">
        <v>47</v>
      </c>
      <c r="H77" s="4" t="s">
        <v>48</v>
      </c>
      <c r="I77" s="21">
        <v>45492</v>
      </c>
      <c r="J77" s="21" t="str">
        <f>TEXT(Claims_data[[#This Row],[Service Date]],"mmm")</f>
        <v>Jul</v>
      </c>
      <c r="K77" s="4" t="s">
        <v>24</v>
      </c>
      <c r="L77" s="4" t="s">
        <v>25</v>
      </c>
      <c r="M77" s="6">
        <v>4177.5200000000004</v>
      </c>
      <c r="N77" s="6">
        <v>3284.85</v>
      </c>
      <c r="O77" s="6">
        <v>54.73</v>
      </c>
      <c r="P77" s="6">
        <v>3230.12</v>
      </c>
      <c r="Q77" s="4" t="s">
        <v>43</v>
      </c>
      <c r="R77" s="10" t="s">
        <v>44</v>
      </c>
      <c r="S77" s="30">
        <f>(Claims_data[[#This Row],[Billed Amount ($)]]-Claims_data[[#This Row],[Paid Amount ($)]])/Claims_data[[#This Row],[Billed Amount ($)]]</f>
        <v>0.22678526972940893</v>
      </c>
    </row>
    <row r="78" spans="1:19" x14ac:dyDescent="0.2">
      <c r="A78" s="7" t="s">
        <v>171</v>
      </c>
      <c r="B78" s="1" t="s">
        <v>98</v>
      </c>
      <c r="C78" s="2">
        <v>45</v>
      </c>
      <c r="D78" s="1" t="s">
        <v>37</v>
      </c>
      <c r="E78" s="1" t="s">
        <v>30</v>
      </c>
      <c r="F78" s="1" t="s">
        <v>39</v>
      </c>
      <c r="G78" s="1" t="s">
        <v>40</v>
      </c>
      <c r="H78" s="1" t="s">
        <v>33</v>
      </c>
      <c r="I78" s="20">
        <v>45543</v>
      </c>
      <c r="J78" s="20" t="str">
        <f>TEXT(Claims_data[[#This Row],[Service Date]],"mmm")</f>
        <v>Sep</v>
      </c>
      <c r="K78" s="1" t="s">
        <v>41</v>
      </c>
      <c r="L78" s="1" t="s">
        <v>42</v>
      </c>
      <c r="M78" s="3">
        <v>5889.45</v>
      </c>
      <c r="N78" s="3">
        <v>3826.56</v>
      </c>
      <c r="O78" s="3">
        <v>119.17</v>
      </c>
      <c r="P78" s="3">
        <v>0</v>
      </c>
      <c r="Q78" s="1" t="s">
        <v>51</v>
      </c>
      <c r="R78" s="9" t="s">
        <v>44</v>
      </c>
      <c r="S78" s="30">
        <f>(Claims_data[[#This Row],[Billed Amount ($)]]-Claims_data[[#This Row],[Paid Amount ($)]])/Claims_data[[#This Row],[Billed Amount ($)]]</f>
        <v>1</v>
      </c>
    </row>
    <row r="79" spans="1:19" x14ac:dyDescent="0.2">
      <c r="A79" s="8" t="s">
        <v>172</v>
      </c>
      <c r="B79" s="4" t="s">
        <v>173</v>
      </c>
      <c r="C79" s="5">
        <v>67</v>
      </c>
      <c r="D79" s="4" t="s">
        <v>37</v>
      </c>
      <c r="E79" s="4" t="s">
        <v>38</v>
      </c>
      <c r="F79" s="4" t="s">
        <v>39</v>
      </c>
      <c r="G79" s="4" t="s">
        <v>40</v>
      </c>
      <c r="H79" s="4" t="s">
        <v>33</v>
      </c>
      <c r="I79" s="21">
        <v>45293</v>
      </c>
      <c r="J79" s="21" t="str">
        <f>TEXT(Claims_data[[#This Row],[Service Date]],"mmm")</f>
        <v>Jan</v>
      </c>
      <c r="K79" s="4" t="s">
        <v>34</v>
      </c>
      <c r="L79" s="4" t="s">
        <v>35</v>
      </c>
      <c r="M79" s="6">
        <v>3920.39</v>
      </c>
      <c r="N79" s="6">
        <v>2712.49</v>
      </c>
      <c r="O79" s="6">
        <v>138.75</v>
      </c>
      <c r="P79" s="6">
        <v>0</v>
      </c>
      <c r="Q79" s="4" t="s">
        <v>51</v>
      </c>
      <c r="R79" s="10" t="s">
        <v>27</v>
      </c>
      <c r="S79" s="30">
        <f>(Claims_data[[#This Row],[Billed Amount ($)]]-Claims_data[[#This Row],[Paid Amount ($)]])/Claims_data[[#This Row],[Billed Amount ($)]]</f>
        <v>1</v>
      </c>
    </row>
    <row r="80" spans="1:19" x14ac:dyDescent="0.2">
      <c r="A80" s="7" t="s">
        <v>174</v>
      </c>
      <c r="B80" s="1" t="s">
        <v>98</v>
      </c>
      <c r="C80" s="2">
        <v>25</v>
      </c>
      <c r="D80" s="1" t="s">
        <v>37</v>
      </c>
      <c r="E80" s="1" t="s">
        <v>38</v>
      </c>
      <c r="F80" s="1" t="s">
        <v>82</v>
      </c>
      <c r="G80" s="1" t="s">
        <v>83</v>
      </c>
      <c r="H80" s="1" t="s">
        <v>33</v>
      </c>
      <c r="I80" s="20">
        <v>45471</v>
      </c>
      <c r="J80" s="20" t="str">
        <f>TEXT(Claims_data[[#This Row],[Service Date]],"mmm")</f>
        <v>Jun</v>
      </c>
      <c r="K80" s="1" t="s">
        <v>65</v>
      </c>
      <c r="L80" s="1" t="s">
        <v>66</v>
      </c>
      <c r="M80" s="3">
        <v>10455.950000000001</v>
      </c>
      <c r="N80" s="3">
        <v>8492.92</v>
      </c>
      <c r="O80" s="3">
        <v>77.239999999999995</v>
      </c>
      <c r="P80" s="3">
        <v>8415.68</v>
      </c>
      <c r="Q80" s="1" t="s">
        <v>26</v>
      </c>
      <c r="R80" s="9" t="s">
        <v>27</v>
      </c>
      <c r="S80" s="30">
        <f>(Claims_data[[#This Row],[Billed Amount ($)]]-Claims_data[[#This Row],[Paid Amount ($)]])/Claims_data[[#This Row],[Billed Amount ($)]]</f>
        <v>0.19513004557213837</v>
      </c>
    </row>
    <row r="81" spans="1:19" x14ac:dyDescent="0.2">
      <c r="A81" s="8" t="s">
        <v>175</v>
      </c>
      <c r="B81" s="4" t="s">
        <v>57</v>
      </c>
      <c r="C81" s="5">
        <v>59</v>
      </c>
      <c r="D81" s="4" t="s">
        <v>19</v>
      </c>
      <c r="E81" s="4" t="s">
        <v>38</v>
      </c>
      <c r="F81" s="4" t="s">
        <v>39</v>
      </c>
      <c r="G81" s="4" t="s">
        <v>40</v>
      </c>
      <c r="H81" s="4" t="s">
        <v>33</v>
      </c>
      <c r="I81" s="21">
        <v>45433</v>
      </c>
      <c r="J81" s="21" t="str">
        <f>TEXT(Claims_data[[#This Row],[Service Date]],"mmm")</f>
        <v>May</v>
      </c>
      <c r="K81" s="4" t="s">
        <v>24</v>
      </c>
      <c r="L81" s="4" t="s">
        <v>25</v>
      </c>
      <c r="M81" s="6">
        <v>4161.95</v>
      </c>
      <c r="N81" s="6">
        <v>3153.97</v>
      </c>
      <c r="O81" s="6">
        <v>104.48</v>
      </c>
      <c r="P81" s="6">
        <v>3049.49</v>
      </c>
      <c r="Q81" s="4" t="s">
        <v>43</v>
      </c>
      <c r="R81" s="10" t="s">
        <v>44</v>
      </c>
      <c r="S81" s="30">
        <f>(Claims_data[[#This Row],[Billed Amount ($)]]-Claims_data[[#This Row],[Paid Amount ($)]])/Claims_data[[#This Row],[Billed Amount ($)]]</f>
        <v>0.26729297564843407</v>
      </c>
    </row>
    <row r="82" spans="1:19" x14ac:dyDescent="0.2">
      <c r="A82" s="7" t="s">
        <v>176</v>
      </c>
      <c r="B82" s="1" t="s">
        <v>105</v>
      </c>
      <c r="C82" s="2">
        <v>30</v>
      </c>
      <c r="D82" s="1" t="s">
        <v>19</v>
      </c>
      <c r="E82" s="1" t="s">
        <v>20</v>
      </c>
      <c r="F82" s="1" t="s">
        <v>21</v>
      </c>
      <c r="G82" s="1" t="s">
        <v>22</v>
      </c>
      <c r="H82" s="1" t="s">
        <v>23</v>
      </c>
      <c r="I82" s="20">
        <v>45590</v>
      </c>
      <c r="J82" s="20" t="str">
        <f>TEXT(Claims_data[[#This Row],[Service Date]],"mmm")</f>
        <v>Oct</v>
      </c>
      <c r="K82" s="1" t="s">
        <v>65</v>
      </c>
      <c r="L82" s="1" t="s">
        <v>66</v>
      </c>
      <c r="M82" s="3">
        <v>960.79</v>
      </c>
      <c r="N82" s="3">
        <v>710.36</v>
      </c>
      <c r="O82" s="3">
        <v>139.72</v>
      </c>
      <c r="P82" s="3">
        <v>570.64</v>
      </c>
      <c r="Q82" s="1" t="s">
        <v>43</v>
      </c>
      <c r="R82" s="9" t="s">
        <v>27</v>
      </c>
      <c r="S82" s="30">
        <f>(Claims_data[[#This Row],[Billed Amount ($)]]-Claims_data[[#This Row],[Paid Amount ($)]])/Claims_data[[#This Row],[Billed Amount ($)]]</f>
        <v>0.40607208651214105</v>
      </c>
    </row>
    <row r="83" spans="1:19" x14ac:dyDescent="0.2">
      <c r="A83" s="8" t="s">
        <v>177</v>
      </c>
      <c r="B83" s="4" t="s">
        <v>120</v>
      </c>
      <c r="C83" s="5">
        <v>47</v>
      </c>
      <c r="D83" s="4" t="s">
        <v>19</v>
      </c>
      <c r="E83" s="4" t="s">
        <v>38</v>
      </c>
      <c r="F83" s="4" t="s">
        <v>31</v>
      </c>
      <c r="G83" s="4" t="s">
        <v>32</v>
      </c>
      <c r="H83" s="4" t="s">
        <v>33</v>
      </c>
      <c r="I83" s="21">
        <v>45631</v>
      </c>
      <c r="J83" s="21" t="str">
        <f>TEXT(Claims_data[[#This Row],[Service Date]],"mmm")</f>
        <v>Dec</v>
      </c>
      <c r="K83" s="4" t="s">
        <v>85</v>
      </c>
      <c r="L83" s="4" t="s">
        <v>86</v>
      </c>
      <c r="M83" s="6">
        <v>3698.67</v>
      </c>
      <c r="N83" s="6">
        <v>2066.39</v>
      </c>
      <c r="O83" s="6">
        <v>62.17</v>
      </c>
      <c r="P83" s="6">
        <v>2004.22</v>
      </c>
      <c r="Q83" s="4" t="s">
        <v>43</v>
      </c>
      <c r="R83" s="10" t="s">
        <v>27</v>
      </c>
      <c r="S83" s="30">
        <f>(Claims_data[[#This Row],[Billed Amount ($)]]-Claims_data[[#This Row],[Paid Amount ($)]])/Claims_data[[#This Row],[Billed Amount ($)]]</f>
        <v>0.45812413651393608</v>
      </c>
    </row>
    <row r="84" spans="1:19" x14ac:dyDescent="0.2">
      <c r="A84" s="7" t="s">
        <v>178</v>
      </c>
      <c r="B84" s="1" t="s">
        <v>173</v>
      </c>
      <c r="C84" s="2">
        <v>64</v>
      </c>
      <c r="D84" s="1" t="s">
        <v>37</v>
      </c>
      <c r="E84" s="1" t="s">
        <v>38</v>
      </c>
      <c r="F84" s="1" t="s">
        <v>39</v>
      </c>
      <c r="G84" s="1" t="s">
        <v>40</v>
      </c>
      <c r="H84" s="1" t="s">
        <v>33</v>
      </c>
      <c r="I84" s="20">
        <v>45584</v>
      </c>
      <c r="J84" s="20" t="str">
        <f>TEXT(Claims_data[[#This Row],[Service Date]],"mmm")</f>
        <v>Oct</v>
      </c>
      <c r="K84" s="1" t="s">
        <v>65</v>
      </c>
      <c r="L84" s="1" t="s">
        <v>66</v>
      </c>
      <c r="M84" s="3">
        <v>8229.33</v>
      </c>
      <c r="N84" s="3">
        <v>4970.66</v>
      </c>
      <c r="O84" s="3">
        <v>42.76</v>
      </c>
      <c r="P84" s="3">
        <v>4927.8999999999996</v>
      </c>
      <c r="Q84" s="1" t="s">
        <v>26</v>
      </c>
      <c r="R84" s="9" t="s">
        <v>27</v>
      </c>
      <c r="S84" s="30">
        <f>(Claims_data[[#This Row],[Billed Amount ($)]]-Claims_data[[#This Row],[Paid Amount ($)]])/Claims_data[[#This Row],[Billed Amount ($)]]</f>
        <v>0.40117846774889332</v>
      </c>
    </row>
    <row r="85" spans="1:19" x14ac:dyDescent="0.2">
      <c r="A85" s="8" t="s">
        <v>179</v>
      </c>
      <c r="B85" s="4" t="s">
        <v>120</v>
      </c>
      <c r="C85" s="5">
        <v>68</v>
      </c>
      <c r="D85" s="4" t="s">
        <v>37</v>
      </c>
      <c r="E85" s="4" t="s">
        <v>20</v>
      </c>
      <c r="F85" s="4" t="s">
        <v>39</v>
      </c>
      <c r="G85" s="4" t="s">
        <v>40</v>
      </c>
      <c r="H85" s="4" t="s">
        <v>33</v>
      </c>
      <c r="I85" s="21">
        <v>45611</v>
      </c>
      <c r="J85" s="21" t="str">
        <f>TEXT(Claims_data[[#This Row],[Service Date]],"mmm")</f>
        <v>Nov</v>
      </c>
      <c r="K85" s="4" t="s">
        <v>34</v>
      </c>
      <c r="L85" s="4" t="s">
        <v>35</v>
      </c>
      <c r="M85" s="6">
        <v>3159.63</v>
      </c>
      <c r="N85" s="6">
        <v>1979.82</v>
      </c>
      <c r="O85" s="6">
        <v>21.22</v>
      </c>
      <c r="P85" s="6">
        <v>0</v>
      </c>
      <c r="Q85" s="4" t="s">
        <v>51</v>
      </c>
      <c r="R85" s="10" t="s">
        <v>44</v>
      </c>
      <c r="S85" s="30">
        <f>(Claims_data[[#This Row],[Billed Amount ($)]]-Claims_data[[#This Row],[Paid Amount ($)]])/Claims_data[[#This Row],[Billed Amount ($)]]</f>
        <v>1</v>
      </c>
    </row>
    <row r="86" spans="1:19" x14ac:dyDescent="0.2">
      <c r="A86" s="7" t="s">
        <v>180</v>
      </c>
      <c r="B86" s="1" t="s">
        <v>181</v>
      </c>
      <c r="C86" s="2">
        <v>49</v>
      </c>
      <c r="D86" s="1" t="s">
        <v>19</v>
      </c>
      <c r="E86" s="1" t="s">
        <v>20</v>
      </c>
      <c r="F86" s="1" t="s">
        <v>46</v>
      </c>
      <c r="G86" s="1" t="s">
        <v>47</v>
      </c>
      <c r="H86" s="1" t="s">
        <v>48</v>
      </c>
      <c r="I86" s="20">
        <v>45604</v>
      </c>
      <c r="J86" s="20" t="str">
        <f>TEXT(Claims_data[[#This Row],[Service Date]],"mmm")</f>
        <v>Nov</v>
      </c>
      <c r="K86" s="1" t="s">
        <v>49</v>
      </c>
      <c r="L86" s="1" t="s">
        <v>50</v>
      </c>
      <c r="M86" s="3">
        <v>11550.04</v>
      </c>
      <c r="N86" s="3">
        <v>8744.4699999999993</v>
      </c>
      <c r="O86" s="3">
        <v>79.39</v>
      </c>
      <c r="P86" s="3">
        <v>8665.08</v>
      </c>
      <c r="Q86" s="1" t="s">
        <v>43</v>
      </c>
      <c r="R86" s="9" t="s">
        <v>44</v>
      </c>
      <c r="S86" s="30">
        <f>(Claims_data[[#This Row],[Billed Amount ($)]]-Claims_data[[#This Row],[Paid Amount ($)]])/Claims_data[[#This Row],[Billed Amount ($)]]</f>
        <v>0.24977922154382157</v>
      </c>
    </row>
    <row r="87" spans="1:19" x14ac:dyDescent="0.2">
      <c r="A87" s="8" t="s">
        <v>182</v>
      </c>
      <c r="B87" s="4" t="s">
        <v>183</v>
      </c>
      <c r="C87" s="5">
        <v>25</v>
      </c>
      <c r="D87" s="4" t="s">
        <v>37</v>
      </c>
      <c r="E87" s="4" t="s">
        <v>30</v>
      </c>
      <c r="F87" s="4" t="s">
        <v>46</v>
      </c>
      <c r="G87" s="4" t="s">
        <v>47</v>
      </c>
      <c r="H87" s="4" t="s">
        <v>48</v>
      </c>
      <c r="I87" s="21">
        <v>45589</v>
      </c>
      <c r="J87" s="21" t="str">
        <f>TEXT(Claims_data[[#This Row],[Service Date]],"mmm")</f>
        <v>Oct</v>
      </c>
      <c r="K87" s="4" t="s">
        <v>49</v>
      </c>
      <c r="L87" s="4" t="s">
        <v>50</v>
      </c>
      <c r="M87" s="6">
        <v>3656.09</v>
      </c>
      <c r="N87" s="6">
        <v>2777.84</v>
      </c>
      <c r="O87" s="6">
        <v>22.85</v>
      </c>
      <c r="P87" s="6">
        <v>0</v>
      </c>
      <c r="Q87" s="4" t="s">
        <v>51</v>
      </c>
      <c r="R87" s="10" t="s">
        <v>44</v>
      </c>
      <c r="S87" s="30">
        <f>(Claims_data[[#This Row],[Billed Amount ($)]]-Claims_data[[#This Row],[Paid Amount ($)]])/Claims_data[[#This Row],[Billed Amount ($)]]</f>
        <v>1</v>
      </c>
    </row>
    <row r="88" spans="1:19" x14ac:dyDescent="0.2">
      <c r="A88" s="7" t="s">
        <v>184</v>
      </c>
      <c r="B88" s="1" t="s">
        <v>57</v>
      </c>
      <c r="C88" s="2">
        <v>73</v>
      </c>
      <c r="D88" s="1" t="s">
        <v>37</v>
      </c>
      <c r="E88" s="1" t="s">
        <v>30</v>
      </c>
      <c r="F88" s="1" t="s">
        <v>31</v>
      </c>
      <c r="G88" s="1" t="s">
        <v>32</v>
      </c>
      <c r="H88" s="1" t="s">
        <v>33</v>
      </c>
      <c r="I88" s="20">
        <v>45569</v>
      </c>
      <c r="J88" s="20" t="str">
        <f>TEXT(Claims_data[[#This Row],[Service Date]],"mmm")</f>
        <v>Oct</v>
      </c>
      <c r="K88" s="1" t="s">
        <v>73</v>
      </c>
      <c r="L88" s="1" t="s">
        <v>74</v>
      </c>
      <c r="M88" s="3">
        <v>9652.89</v>
      </c>
      <c r="N88" s="3">
        <v>5943.3</v>
      </c>
      <c r="O88" s="3">
        <v>44.72</v>
      </c>
      <c r="P88" s="3">
        <v>5898.58</v>
      </c>
      <c r="Q88" s="1" t="s">
        <v>43</v>
      </c>
      <c r="R88" s="9" t="s">
        <v>27</v>
      </c>
      <c r="S88" s="30">
        <f>(Claims_data[[#This Row],[Billed Amount ($)]]-Claims_data[[#This Row],[Paid Amount ($)]])/Claims_data[[#This Row],[Billed Amount ($)]]</f>
        <v>0.38893119055536735</v>
      </c>
    </row>
    <row r="89" spans="1:19" x14ac:dyDescent="0.2">
      <c r="A89" s="8" t="s">
        <v>185</v>
      </c>
      <c r="B89" s="4" t="s">
        <v>186</v>
      </c>
      <c r="C89" s="5">
        <v>72</v>
      </c>
      <c r="D89" s="4" t="s">
        <v>19</v>
      </c>
      <c r="E89" s="4" t="s">
        <v>20</v>
      </c>
      <c r="F89" s="4" t="s">
        <v>39</v>
      </c>
      <c r="G89" s="4" t="s">
        <v>40</v>
      </c>
      <c r="H89" s="4" t="s">
        <v>33</v>
      </c>
      <c r="I89" s="21">
        <v>45298</v>
      </c>
      <c r="J89" s="21" t="str">
        <f>TEXT(Claims_data[[#This Row],[Service Date]],"mmm")</f>
        <v>Jan</v>
      </c>
      <c r="K89" s="4" t="s">
        <v>73</v>
      </c>
      <c r="L89" s="4" t="s">
        <v>74</v>
      </c>
      <c r="M89" s="6">
        <v>7017.95</v>
      </c>
      <c r="N89" s="6">
        <v>5401.77</v>
      </c>
      <c r="O89" s="6">
        <v>31.72</v>
      </c>
      <c r="P89" s="6">
        <v>5370.05</v>
      </c>
      <c r="Q89" s="4" t="s">
        <v>43</v>
      </c>
      <c r="R89" s="10" t="s">
        <v>27</v>
      </c>
      <c r="S89" s="30">
        <f>(Claims_data[[#This Row],[Billed Amount ($)]]-Claims_data[[#This Row],[Paid Amount ($)]])/Claims_data[[#This Row],[Billed Amount ($)]]</f>
        <v>0.2348121602462257</v>
      </c>
    </row>
    <row r="90" spans="1:19" x14ac:dyDescent="0.2">
      <c r="A90" s="7" t="s">
        <v>187</v>
      </c>
      <c r="B90" s="1" t="s">
        <v>120</v>
      </c>
      <c r="C90" s="2">
        <v>72</v>
      </c>
      <c r="D90" s="1" t="s">
        <v>19</v>
      </c>
      <c r="E90" s="1" t="s">
        <v>20</v>
      </c>
      <c r="F90" s="1" t="s">
        <v>46</v>
      </c>
      <c r="G90" s="1" t="s">
        <v>47</v>
      </c>
      <c r="H90" s="1" t="s">
        <v>48</v>
      </c>
      <c r="I90" s="20">
        <v>45550</v>
      </c>
      <c r="J90" s="20" t="str">
        <f>TEXT(Claims_data[[#This Row],[Service Date]],"mmm")</f>
        <v>Sep</v>
      </c>
      <c r="K90" s="1" t="s">
        <v>65</v>
      </c>
      <c r="L90" s="1" t="s">
        <v>66</v>
      </c>
      <c r="M90" s="3">
        <v>6096.27</v>
      </c>
      <c r="N90" s="3">
        <v>3851.37</v>
      </c>
      <c r="O90" s="3">
        <v>41.39</v>
      </c>
      <c r="P90" s="3">
        <v>0</v>
      </c>
      <c r="Q90" s="1" t="s">
        <v>51</v>
      </c>
      <c r="R90" s="9" t="s">
        <v>27</v>
      </c>
      <c r="S90" s="30">
        <f>(Claims_data[[#This Row],[Billed Amount ($)]]-Claims_data[[#This Row],[Paid Amount ($)]])/Claims_data[[#This Row],[Billed Amount ($)]]</f>
        <v>1</v>
      </c>
    </row>
    <row r="91" spans="1:19" x14ac:dyDescent="0.2">
      <c r="A91" s="8" t="s">
        <v>188</v>
      </c>
      <c r="B91" s="4" t="s">
        <v>116</v>
      </c>
      <c r="C91" s="5">
        <v>30</v>
      </c>
      <c r="D91" s="4" t="s">
        <v>19</v>
      </c>
      <c r="E91" s="4" t="s">
        <v>20</v>
      </c>
      <c r="F91" s="4" t="s">
        <v>31</v>
      </c>
      <c r="G91" s="4" t="s">
        <v>32</v>
      </c>
      <c r="H91" s="4" t="s">
        <v>33</v>
      </c>
      <c r="I91" s="21">
        <v>45605</v>
      </c>
      <c r="J91" s="21" t="str">
        <f>TEXT(Claims_data[[#This Row],[Service Date]],"mmm")</f>
        <v>Nov</v>
      </c>
      <c r="K91" s="4" t="s">
        <v>41</v>
      </c>
      <c r="L91" s="4" t="s">
        <v>42</v>
      </c>
      <c r="M91" s="6">
        <v>8731.9699999999993</v>
      </c>
      <c r="N91" s="6">
        <v>7369.63</v>
      </c>
      <c r="O91" s="6">
        <v>145.75</v>
      </c>
      <c r="P91" s="6">
        <v>7223.88</v>
      </c>
      <c r="Q91" s="4" t="s">
        <v>26</v>
      </c>
      <c r="R91" s="10" t="s">
        <v>27</v>
      </c>
      <c r="S91" s="30">
        <f>(Claims_data[[#This Row],[Billed Amount ($)]]-Claims_data[[#This Row],[Paid Amount ($)]])/Claims_data[[#This Row],[Billed Amount ($)]]</f>
        <v>0.17270902213360781</v>
      </c>
    </row>
    <row r="92" spans="1:19" x14ac:dyDescent="0.2">
      <c r="A92" s="7" t="s">
        <v>189</v>
      </c>
      <c r="B92" s="1" t="s">
        <v>81</v>
      </c>
      <c r="C92" s="2">
        <v>68</v>
      </c>
      <c r="D92" s="1" t="s">
        <v>37</v>
      </c>
      <c r="E92" s="1" t="s">
        <v>38</v>
      </c>
      <c r="F92" s="1" t="s">
        <v>46</v>
      </c>
      <c r="G92" s="1" t="s">
        <v>47</v>
      </c>
      <c r="H92" s="1" t="s">
        <v>48</v>
      </c>
      <c r="I92" s="20">
        <v>45597</v>
      </c>
      <c r="J92" s="20" t="str">
        <f>TEXT(Claims_data[[#This Row],[Service Date]],"mmm")</f>
        <v>Nov</v>
      </c>
      <c r="K92" s="1" t="s">
        <v>85</v>
      </c>
      <c r="L92" s="1" t="s">
        <v>86</v>
      </c>
      <c r="M92" s="3">
        <v>9025.7900000000009</v>
      </c>
      <c r="N92" s="3">
        <v>5674.05</v>
      </c>
      <c r="O92" s="3">
        <v>69.53</v>
      </c>
      <c r="P92" s="3">
        <v>5604.52</v>
      </c>
      <c r="Q92" s="1" t="s">
        <v>43</v>
      </c>
      <c r="R92" s="9" t="s">
        <v>44</v>
      </c>
      <c r="S92" s="30">
        <f>(Claims_data[[#This Row],[Billed Amount ($)]]-Claims_data[[#This Row],[Paid Amount ($)]])/Claims_data[[#This Row],[Billed Amount ($)]]</f>
        <v>0.37905490821302068</v>
      </c>
    </row>
    <row r="93" spans="1:19" x14ac:dyDescent="0.2">
      <c r="A93" s="8" t="s">
        <v>190</v>
      </c>
      <c r="B93" s="4" t="s">
        <v>191</v>
      </c>
      <c r="C93" s="5">
        <v>51</v>
      </c>
      <c r="D93" s="4" t="s">
        <v>37</v>
      </c>
      <c r="E93" s="4" t="s">
        <v>20</v>
      </c>
      <c r="F93" s="4" t="s">
        <v>31</v>
      </c>
      <c r="G93" s="4" t="s">
        <v>32</v>
      </c>
      <c r="H93" s="4" t="s">
        <v>33</v>
      </c>
      <c r="I93" s="21">
        <v>45598</v>
      </c>
      <c r="J93" s="21" t="str">
        <f>TEXT(Claims_data[[#This Row],[Service Date]],"mmm")</f>
        <v>Nov</v>
      </c>
      <c r="K93" s="4" t="s">
        <v>49</v>
      </c>
      <c r="L93" s="4" t="s">
        <v>50</v>
      </c>
      <c r="M93" s="6">
        <v>899.12</v>
      </c>
      <c r="N93" s="6">
        <v>716.74</v>
      </c>
      <c r="O93" s="6">
        <v>138.22</v>
      </c>
      <c r="P93" s="6">
        <v>578.52</v>
      </c>
      <c r="Q93" s="4" t="s">
        <v>43</v>
      </c>
      <c r="R93" s="10" t="s">
        <v>27</v>
      </c>
      <c r="S93" s="30">
        <f>(Claims_data[[#This Row],[Billed Amount ($)]]-Claims_data[[#This Row],[Paid Amount ($)]])/Claims_data[[#This Row],[Billed Amount ($)]]</f>
        <v>0.35657086929442122</v>
      </c>
    </row>
    <row r="94" spans="1:19" x14ac:dyDescent="0.2">
      <c r="A94" s="7" t="s">
        <v>192</v>
      </c>
      <c r="B94" s="1" t="s">
        <v>116</v>
      </c>
      <c r="C94" s="2">
        <v>67</v>
      </c>
      <c r="D94" s="1" t="s">
        <v>19</v>
      </c>
      <c r="E94" s="1" t="s">
        <v>30</v>
      </c>
      <c r="F94" s="1" t="s">
        <v>39</v>
      </c>
      <c r="G94" s="1" t="s">
        <v>40</v>
      </c>
      <c r="H94" s="1" t="s">
        <v>33</v>
      </c>
      <c r="I94" s="20">
        <v>45346</v>
      </c>
      <c r="J94" s="20" t="str">
        <f>TEXT(Claims_data[[#This Row],[Service Date]],"mmm")</f>
        <v>Feb</v>
      </c>
      <c r="K94" s="1" t="s">
        <v>73</v>
      </c>
      <c r="L94" s="1" t="s">
        <v>74</v>
      </c>
      <c r="M94" s="3">
        <v>1301.73</v>
      </c>
      <c r="N94" s="3">
        <v>1062.44</v>
      </c>
      <c r="O94" s="3">
        <v>37.64</v>
      </c>
      <c r="P94" s="3">
        <v>0</v>
      </c>
      <c r="Q94" s="1" t="s">
        <v>51</v>
      </c>
      <c r="R94" s="9" t="s">
        <v>27</v>
      </c>
      <c r="S94" s="30">
        <f>(Claims_data[[#This Row],[Billed Amount ($)]]-Claims_data[[#This Row],[Paid Amount ($)]])/Claims_data[[#This Row],[Billed Amount ($)]]</f>
        <v>1</v>
      </c>
    </row>
    <row r="95" spans="1:19" x14ac:dyDescent="0.2">
      <c r="A95" s="8" t="s">
        <v>193</v>
      </c>
      <c r="B95" s="4" t="s">
        <v>59</v>
      </c>
      <c r="C95" s="5">
        <v>53</v>
      </c>
      <c r="D95" s="4" t="s">
        <v>19</v>
      </c>
      <c r="E95" s="4" t="s">
        <v>20</v>
      </c>
      <c r="F95" s="4" t="s">
        <v>21</v>
      </c>
      <c r="G95" s="4" t="s">
        <v>22</v>
      </c>
      <c r="H95" s="4" t="s">
        <v>23</v>
      </c>
      <c r="I95" s="21">
        <v>45532</v>
      </c>
      <c r="J95" s="21" t="str">
        <f>TEXT(Claims_data[[#This Row],[Service Date]],"mmm")</f>
        <v>Aug</v>
      </c>
      <c r="K95" s="4" t="s">
        <v>111</v>
      </c>
      <c r="L95" s="4" t="s">
        <v>112</v>
      </c>
      <c r="M95" s="6">
        <v>7445.48</v>
      </c>
      <c r="N95" s="6">
        <v>6192.52</v>
      </c>
      <c r="O95" s="6">
        <v>56.37</v>
      </c>
      <c r="P95" s="6">
        <v>6136.15</v>
      </c>
      <c r="Q95" s="4" t="s">
        <v>43</v>
      </c>
      <c r="R95" s="10" t="s">
        <v>44</v>
      </c>
      <c r="S95" s="30">
        <f>(Claims_data[[#This Row],[Billed Amount ($)]]-Claims_data[[#This Row],[Paid Amount ($)]])/Claims_data[[#This Row],[Billed Amount ($)]]</f>
        <v>0.17585568694026443</v>
      </c>
    </row>
    <row r="96" spans="1:19" x14ac:dyDescent="0.2">
      <c r="A96" s="7" t="s">
        <v>194</v>
      </c>
      <c r="B96" s="1" t="s">
        <v>181</v>
      </c>
      <c r="C96" s="2">
        <v>32</v>
      </c>
      <c r="D96" s="1" t="s">
        <v>19</v>
      </c>
      <c r="E96" s="1" t="s">
        <v>20</v>
      </c>
      <c r="F96" s="1" t="s">
        <v>46</v>
      </c>
      <c r="G96" s="1" t="s">
        <v>47</v>
      </c>
      <c r="H96" s="1" t="s">
        <v>48</v>
      </c>
      <c r="I96" s="20">
        <v>45557</v>
      </c>
      <c r="J96" s="20" t="str">
        <f>TEXT(Claims_data[[#This Row],[Service Date]],"mmm")</f>
        <v>Sep</v>
      </c>
      <c r="K96" s="1" t="s">
        <v>24</v>
      </c>
      <c r="L96" s="1" t="s">
        <v>25</v>
      </c>
      <c r="M96" s="3">
        <v>10835.1</v>
      </c>
      <c r="N96" s="3">
        <v>8055.33</v>
      </c>
      <c r="O96" s="3">
        <v>27.87</v>
      </c>
      <c r="P96" s="3">
        <v>8027.46</v>
      </c>
      <c r="Q96" s="1" t="s">
        <v>43</v>
      </c>
      <c r="R96" s="9" t="s">
        <v>27</v>
      </c>
      <c r="S96" s="30">
        <f>(Claims_data[[#This Row],[Billed Amount ($)]]-Claims_data[[#This Row],[Paid Amount ($)]])/Claims_data[[#This Row],[Billed Amount ($)]]</f>
        <v>0.25912451200265807</v>
      </c>
    </row>
    <row r="97" spans="1:19" x14ac:dyDescent="0.2">
      <c r="A97" s="8" t="s">
        <v>195</v>
      </c>
      <c r="B97" s="4" t="s">
        <v>59</v>
      </c>
      <c r="C97" s="5">
        <v>29</v>
      </c>
      <c r="D97" s="4" t="s">
        <v>37</v>
      </c>
      <c r="E97" s="4" t="s">
        <v>30</v>
      </c>
      <c r="F97" s="4" t="s">
        <v>21</v>
      </c>
      <c r="G97" s="4" t="s">
        <v>22</v>
      </c>
      <c r="H97" s="4" t="s">
        <v>23</v>
      </c>
      <c r="I97" s="21">
        <v>45298</v>
      </c>
      <c r="J97" s="21" t="str">
        <f>TEXT(Claims_data[[#This Row],[Service Date]],"mmm")</f>
        <v>Jan</v>
      </c>
      <c r="K97" s="4" t="s">
        <v>49</v>
      </c>
      <c r="L97" s="4" t="s">
        <v>50</v>
      </c>
      <c r="M97" s="6">
        <v>9473.52</v>
      </c>
      <c r="N97" s="6">
        <v>5902.67</v>
      </c>
      <c r="O97" s="6">
        <v>36.369999999999997</v>
      </c>
      <c r="P97" s="6">
        <v>5866.3</v>
      </c>
      <c r="Q97" s="4" t="s">
        <v>26</v>
      </c>
      <c r="R97" s="10" t="s">
        <v>27</v>
      </c>
      <c r="S97" s="30">
        <f>(Claims_data[[#This Row],[Billed Amount ($)]]-Claims_data[[#This Row],[Paid Amount ($)]])/Claims_data[[#This Row],[Billed Amount ($)]]</f>
        <v>0.38076871110210353</v>
      </c>
    </row>
    <row r="98" spans="1:19" x14ac:dyDescent="0.2">
      <c r="A98" s="7" t="s">
        <v>196</v>
      </c>
      <c r="B98" s="1" t="s">
        <v>132</v>
      </c>
      <c r="C98" s="2">
        <v>41</v>
      </c>
      <c r="D98" s="1" t="s">
        <v>37</v>
      </c>
      <c r="E98" s="1" t="s">
        <v>20</v>
      </c>
      <c r="F98" s="1" t="s">
        <v>31</v>
      </c>
      <c r="G98" s="1" t="s">
        <v>32</v>
      </c>
      <c r="H98" s="1" t="s">
        <v>33</v>
      </c>
      <c r="I98" s="20">
        <v>45587</v>
      </c>
      <c r="J98" s="20" t="str">
        <f>TEXT(Claims_data[[#This Row],[Service Date]],"mmm")</f>
        <v>Oct</v>
      </c>
      <c r="K98" s="1" t="s">
        <v>60</v>
      </c>
      <c r="L98" s="1" t="s">
        <v>61</v>
      </c>
      <c r="M98" s="3">
        <v>183.6</v>
      </c>
      <c r="N98" s="3">
        <v>148.26</v>
      </c>
      <c r="O98" s="3">
        <v>38.81</v>
      </c>
      <c r="P98" s="3">
        <v>109.45</v>
      </c>
      <c r="Q98" s="1" t="s">
        <v>43</v>
      </c>
      <c r="R98" s="9" t="s">
        <v>27</v>
      </c>
      <c r="S98" s="30">
        <f>(Claims_data[[#This Row],[Billed Amount ($)]]-Claims_data[[#This Row],[Paid Amount ($)]])/Claims_data[[#This Row],[Billed Amount ($)]]</f>
        <v>0.40386710239651413</v>
      </c>
    </row>
    <row r="99" spans="1:19" x14ac:dyDescent="0.2">
      <c r="A99" s="8" t="s">
        <v>197</v>
      </c>
      <c r="B99" s="4" t="s">
        <v>198</v>
      </c>
      <c r="C99" s="5">
        <v>28</v>
      </c>
      <c r="D99" s="4" t="s">
        <v>37</v>
      </c>
      <c r="E99" s="4" t="s">
        <v>30</v>
      </c>
      <c r="F99" s="4" t="s">
        <v>21</v>
      </c>
      <c r="G99" s="4" t="s">
        <v>22</v>
      </c>
      <c r="H99" s="4" t="s">
        <v>23</v>
      </c>
      <c r="I99" s="21">
        <v>45457</v>
      </c>
      <c r="J99" s="21" t="str">
        <f>TEXT(Claims_data[[#This Row],[Service Date]],"mmm")</f>
        <v>Jun</v>
      </c>
      <c r="K99" s="4" t="s">
        <v>41</v>
      </c>
      <c r="L99" s="4" t="s">
        <v>42</v>
      </c>
      <c r="M99" s="6">
        <v>9511.32</v>
      </c>
      <c r="N99" s="6">
        <v>5910.14</v>
      </c>
      <c r="O99" s="6">
        <v>62.09</v>
      </c>
      <c r="P99" s="6">
        <v>5848.05</v>
      </c>
      <c r="Q99" s="4" t="s">
        <v>43</v>
      </c>
      <c r="R99" s="10" t="s">
        <v>27</v>
      </c>
      <c r="S99" s="30">
        <f>(Claims_data[[#This Row],[Billed Amount ($)]]-Claims_data[[#This Row],[Paid Amount ($)]])/Claims_data[[#This Row],[Billed Amount ($)]]</f>
        <v>0.38514843365589629</v>
      </c>
    </row>
    <row r="100" spans="1:19" x14ac:dyDescent="0.2">
      <c r="A100" s="7" t="s">
        <v>199</v>
      </c>
      <c r="B100" s="1" t="s">
        <v>53</v>
      </c>
      <c r="C100" s="2">
        <v>64</v>
      </c>
      <c r="D100" s="1" t="s">
        <v>37</v>
      </c>
      <c r="E100" s="1" t="s">
        <v>30</v>
      </c>
      <c r="F100" s="1" t="s">
        <v>39</v>
      </c>
      <c r="G100" s="1" t="s">
        <v>40</v>
      </c>
      <c r="H100" s="1" t="s">
        <v>33</v>
      </c>
      <c r="I100" s="20">
        <v>45530</v>
      </c>
      <c r="J100" s="20" t="str">
        <f>TEXT(Claims_data[[#This Row],[Service Date]],"mmm")</f>
        <v>Aug</v>
      </c>
      <c r="K100" s="1" t="s">
        <v>24</v>
      </c>
      <c r="L100" s="1" t="s">
        <v>25</v>
      </c>
      <c r="M100" s="3">
        <v>9369.5</v>
      </c>
      <c r="N100" s="3">
        <v>6595.86</v>
      </c>
      <c r="O100" s="3">
        <v>34.18</v>
      </c>
      <c r="P100" s="3">
        <v>6561.68</v>
      </c>
      <c r="Q100" s="1" t="s">
        <v>26</v>
      </c>
      <c r="R100" s="9" t="s">
        <v>44</v>
      </c>
      <c r="S100" s="30">
        <f>(Claims_data[[#This Row],[Billed Amount ($)]]-Claims_data[[#This Row],[Paid Amount ($)]])/Claims_data[[#This Row],[Billed Amount ($)]]</f>
        <v>0.29967661027802972</v>
      </c>
    </row>
    <row r="101" spans="1:19" x14ac:dyDescent="0.2">
      <c r="A101" s="8" t="s">
        <v>200</v>
      </c>
      <c r="B101" s="4" t="s">
        <v>201</v>
      </c>
      <c r="C101" s="5">
        <v>70</v>
      </c>
      <c r="D101" s="4" t="s">
        <v>19</v>
      </c>
      <c r="E101" s="4" t="s">
        <v>20</v>
      </c>
      <c r="F101" s="4" t="s">
        <v>21</v>
      </c>
      <c r="G101" s="4" t="s">
        <v>22</v>
      </c>
      <c r="H101" s="4" t="s">
        <v>23</v>
      </c>
      <c r="I101" s="21">
        <v>45294</v>
      </c>
      <c r="J101" s="21" t="str">
        <f>TEXT(Claims_data[[#This Row],[Service Date]],"mmm")</f>
        <v>Jan</v>
      </c>
      <c r="K101" s="4" t="s">
        <v>85</v>
      </c>
      <c r="L101" s="4" t="s">
        <v>86</v>
      </c>
      <c r="M101" s="6">
        <v>11983.25</v>
      </c>
      <c r="N101" s="6">
        <v>9636.7999999999993</v>
      </c>
      <c r="O101" s="6">
        <v>75.42</v>
      </c>
      <c r="P101" s="6">
        <v>9561.3799999999992</v>
      </c>
      <c r="Q101" s="4" t="s">
        <v>43</v>
      </c>
      <c r="R101" s="10" t="s">
        <v>44</v>
      </c>
      <c r="S101" s="30">
        <f>(Claims_data[[#This Row],[Billed Amount ($)]]-Claims_data[[#This Row],[Paid Amount ($)]])/Claims_data[[#This Row],[Billed Amount ($)]]</f>
        <v>0.20210460434356295</v>
      </c>
    </row>
    <row r="102" spans="1:19" x14ac:dyDescent="0.2">
      <c r="A102" s="7" t="s">
        <v>202</v>
      </c>
      <c r="B102" s="1" t="s">
        <v>173</v>
      </c>
      <c r="C102" s="2">
        <v>63</v>
      </c>
      <c r="D102" s="1" t="s">
        <v>19</v>
      </c>
      <c r="E102" s="1" t="s">
        <v>38</v>
      </c>
      <c r="F102" s="1" t="s">
        <v>31</v>
      </c>
      <c r="G102" s="1" t="s">
        <v>32</v>
      </c>
      <c r="H102" s="1" t="s">
        <v>33</v>
      </c>
      <c r="I102" s="20">
        <v>45339</v>
      </c>
      <c r="J102" s="20" t="str">
        <f>TEXT(Claims_data[[#This Row],[Service Date]],"mmm")</f>
        <v>Feb</v>
      </c>
      <c r="K102" s="1" t="s">
        <v>49</v>
      </c>
      <c r="L102" s="1" t="s">
        <v>50</v>
      </c>
      <c r="M102" s="3">
        <v>1645.37</v>
      </c>
      <c r="N102" s="3">
        <v>1213.1199999999999</v>
      </c>
      <c r="O102" s="3">
        <v>96.1</v>
      </c>
      <c r="P102" s="3">
        <v>1117.02</v>
      </c>
      <c r="Q102" s="1" t="s">
        <v>43</v>
      </c>
      <c r="R102" s="9" t="s">
        <v>44</v>
      </c>
      <c r="S102" s="30">
        <f>(Claims_data[[#This Row],[Billed Amount ($)]]-Claims_data[[#This Row],[Paid Amount ($)]])/Claims_data[[#This Row],[Billed Amount ($)]]</f>
        <v>0.32111318426858393</v>
      </c>
    </row>
    <row r="103" spans="1:19" x14ac:dyDescent="0.2">
      <c r="A103" s="8" t="s">
        <v>203</v>
      </c>
      <c r="B103" s="4" t="s">
        <v>63</v>
      </c>
      <c r="C103" s="5">
        <v>53</v>
      </c>
      <c r="D103" s="4" t="s">
        <v>37</v>
      </c>
      <c r="E103" s="4" t="s">
        <v>38</v>
      </c>
      <c r="F103" s="4" t="s">
        <v>21</v>
      </c>
      <c r="G103" s="4" t="s">
        <v>22</v>
      </c>
      <c r="H103" s="4" t="s">
        <v>23</v>
      </c>
      <c r="I103" s="21">
        <v>45607</v>
      </c>
      <c r="J103" s="21" t="str">
        <f>TEXT(Claims_data[[#This Row],[Service Date]],"mmm")</f>
        <v>Nov</v>
      </c>
      <c r="K103" s="4" t="s">
        <v>24</v>
      </c>
      <c r="L103" s="4" t="s">
        <v>25</v>
      </c>
      <c r="M103" s="6">
        <v>7863.36</v>
      </c>
      <c r="N103" s="6">
        <v>6138.84</v>
      </c>
      <c r="O103" s="6">
        <v>113.71</v>
      </c>
      <c r="P103" s="6">
        <v>6025.13</v>
      </c>
      <c r="Q103" s="4" t="s">
        <v>43</v>
      </c>
      <c r="R103" s="10" t="s">
        <v>44</v>
      </c>
      <c r="S103" s="30">
        <f>(Claims_data[[#This Row],[Billed Amount ($)]]-Claims_data[[#This Row],[Paid Amount ($)]])/Claims_data[[#This Row],[Billed Amount ($)]]</f>
        <v>0.23377156838806815</v>
      </c>
    </row>
    <row r="104" spans="1:19" x14ac:dyDescent="0.2">
      <c r="A104" s="7" t="s">
        <v>204</v>
      </c>
      <c r="B104" s="1" t="s">
        <v>92</v>
      </c>
      <c r="C104" s="2">
        <v>68</v>
      </c>
      <c r="D104" s="1" t="s">
        <v>19</v>
      </c>
      <c r="E104" s="1" t="s">
        <v>20</v>
      </c>
      <c r="F104" s="1" t="s">
        <v>39</v>
      </c>
      <c r="G104" s="1" t="s">
        <v>40</v>
      </c>
      <c r="H104" s="1" t="s">
        <v>33</v>
      </c>
      <c r="I104" s="20">
        <v>45629</v>
      </c>
      <c r="J104" s="20" t="str">
        <f>TEXT(Claims_data[[#This Row],[Service Date]],"mmm")</f>
        <v>Dec</v>
      </c>
      <c r="K104" s="1" t="s">
        <v>111</v>
      </c>
      <c r="L104" s="1" t="s">
        <v>112</v>
      </c>
      <c r="M104" s="3">
        <v>1276.77</v>
      </c>
      <c r="N104" s="3">
        <v>865.69</v>
      </c>
      <c r="O104" s="3">
        <v>106.46</v>
      </c>
      <c r="P104" s="3">
        <v>759.23</v>
      </c>
      <c r="Q104" s="1" t="s">
        <v>43</v>
      </c>
      <c r="R104" s="9" t="s">
        <v>27</v>
      </c>
      <c r="S104" s="30">
        <f>(Claims_data[[#This Row],[Billed Amount ($)]]-Claims_data[[#This Row],[Paid Amount ($)]])/Claims_data[[#This Row],[Billed Amount ($)]]</f>
        <v>0.40535100292143456</v>
      </c>
    </row>
    <row r="105" spans="1:19" x14ac:dyDescent="0.2">
      <c r="A105" s="8" t="s">
        <v>205</v>
      </c>
      <c r="B105" s="4" t="s">
        <v>77</v>
      </c>
      <c r="C105" s="5">
        <v>60</v>
      </c>
      <c r="D105" s="4" t="s">
        <v>19</v>
      </c>
      <c r="E105" s="4" t="s">
        <v>30</v>
      </c>
      <c r="F105" s="4" t="s">
        <v>39</v>
      </c>
      <c r="G105" s="4" t="s">
        <v>40</v>
      </c>
      <c r="H105" s="4" t="s">
        <v>33</v>
      </c>
      <c r="I105" s="21">
        <v>45326</v>
      </c>
      <c r="J105" s="21" t="str">
        <f>TEXT(Claims_data[[#This Row],[Service Date]],"mmm")</f>
        <v>Feb</v>
      </c>
      <c r="K105" s="4" t="s">
        <v>24</v>
      </c>
      <c r="L105" s="4" t="s">
        <v>25</v>
      </c>
      <c r="M105" s="6">
        <v>8973.3799999999992</v>
      </c>
      <c r="N105" s="6">
        <v>5938.53</v>
      </c>
      <c r="O105" s="6">
        <v>36.92</v>
      </c>
      <c r="P105" s="6">
        <v>5901.61</v>
      </c>
      <c r="Q105" s="4" t="s">
        <v>43</v>
      </c>
      <c r="R105" s="10" t="s">
        <v>44</v>
      </c>
      <c r="S105" s="30">
        <f>(Claims_data[[#This Row],[Billed Amount ($)]]-Claims_data[[#This Row],[Paid Amount ($)]])/Claims_data[[#This Row],[Billed Amount ($)]]</f>
        <v>0.34232028510995854</v>
      </c>
    </row>
    <row r="106" spans="1:19" x14ac:dyDescent="0.2">
      <c r="A106" s="7" t="s">
        <v>206</v>
      </c>
      <c r="B106" s="1" t="s">
        <v>138</v>
      </c>
      <c r="C106" s="2">
        <v>57</v>
      </c>
      <c r="D106" s="1" t="s">
        <v>37</v>
      </c>
      <c r="E106" s="1" t="s">
        <v>20</v>
      </c>
      <c r="F106" s="1" t="s">
        <v>39</v>
      </c>
      <c r="G106" s="1" t="s">
        <v>40</v>
      </c>
      <c r="H106" s="1" t="s">
        <v>33</v>
      </c>
      <c r="I106" s="20">
        <v>45648</v>
      </c>
      <c r="J106" s="20" t="str">
        <f>TEXT(Claims_data[[#This Row],[Service Date]],"mmm")</f>
        <v>Dec</v>
      </c>
      <c r="K106" s="1" t="s">
        <v>60</v>
      </c>
      <c r="L106" s="1" t="s">
        <v>61</v>
      </c>
      <c r="M106" s="3">
        <v>759.64</v>
      </c>
      <c r="N106" s="3">
        <v>483.35</v>
      </c>
      <c r="O106" s="3">
        <v>60.62</v>
      </c>
      <c r="P106" s="3">
        <v>422.73</v>
      </c>
      <c r="Q106" s="1" t="s">
        <v>43</v>
      </c>
      <c r="R106" s="9" t="s">
        <v>44</v>
      </c>
      <c r="S106" s="30">
        <f>(Claims_data[[#This Row],[Billed Amount ($)]]-Claims_data[[#This Row],[Paid Amount ($)]])/Claims_data[[#This Row],[Billed Amount ($)]]</f>
        <v>0.44351271654994467</v>
      </c>
    </row>
    <row r="107" spans="1:19" x14ac:dyDescent="0.2">
      <c r="A107" s="8" t="s">
        <v>207</v>
      </c>
      <c r="B107" s="4" t="s">
        <v>53</v>
      </c>
      <c r="C107" s="5">
        <v>52</v>
      </c>
      <c r="D107" s="4" t="s">
        <v>37</v>
      </c>
      <c r="E107" s="4" t="s">
        <v>30</v>
      </c>
      <c r="F107" s="4" t="s">
        <v>21</v>
      </c>
      <c r="G107" s="4" t="s">
        <v>22</v>
      </c>
      <c r="H107" s="4" t="s">
        <v>23</v>
      </c>
      <c r="I107" s="21">
        <v>45465</v>
      </c>
      <c r="J107" s="21" t="str">
        <f>TEXT(Claims_data[[#This Row],[Service Date]],"mmm")</f>
        <v>Jun</v>
      </c>
      <c r="K107" s="4" t="s">
        <v>34</v>
      </c>
      <c r="L107" s="4" t="s">
        <v>35</v>
      </c>
      <c r="M107" s="6">
        <v>10167.68</v>
      </c>
      <c r="N107" s="6">
        <v>6713.4</v>
      </c>
      <c r="O107" s="6">
        <v>119.14</v>
      </c>
      <c r="P107" s="6">
        <v>6594.26</v>
      </c>
      <c r="Q107" s="4" t="s">
        <v>26</v>
      </c>
      <c r="R107" s="10" t="s">
        <v>44</v>
      </c>
      <c r="S107" s="30">
        <f>(Claims_data[[#This Row],[Billed Amount ($)]]-Claims_data[[#This Row],[Paid Amount ($)]])/Claims_data[[#This Row],[Billed Amount ($)]]</f>
        <v>0.35144890476490209</v>
      </c>
    </row>
    <row r="108" spans="1:19" x14ac:dyDescent="0.2">
      <c r="A108" s="7" t="s">
        <v>208</v>
      </c>
      <c r="B108" s="1" t="s">
        <v>209</v>
      </c>
      <c r="C108" s="2">
        <v>34</v>
      </c>
      <c r="D108" s="1" t="s">
        <v>19</v>
      </c>
      <c r="E108" s="1" t="s">
        <v>20</v>
      </c>
      <c r="F108" s="1" t="s">
        <v>31</v>
      </c>
      <c r="G108" s="1" t="s">
        <v>32</v>
      </c>
      <c r="H108" s="1" t="s">
        <v>33</v>
      </c>
      <c r="I108" s="20">
        <v>45417</v>
      </c>
      <c r="J108" s="20" t="str">
        <f>TEXT(Claims_data[[#This Row],[Service Date]],"mmm")</f>
        <v>May</v>
      </c>
      <c r="K108" s="1" t="s">
        <v>125</v>
      </c>
      <c r="L108" s="1" t="s">
        <v>126</v>
      </c>
      <c r="M108" s="3">
        <v>8476.98</v>
      </c>
      <c r="N108" s="3">
        <v>5448.12</v>
      </c>
      <c r="O108" s="3">
        <v>64.180000000000007</v>
      </c>
      <c r="P108" s="3">
        <v>5383.94</v>
      </c>
      <c r="Q108" s="1" t="s">
        <v>43</v>
      </c>
      <c r="R108" s="9" t="s">
        <v>27</v>
      </c>
      <c r="S108" s="30">
        <f>(Claims_data[[#This Row],[Billed Amount ($)]]-Claims_data[[#This Row],[Paid Amount ($)]])/Claims_data[[#This Row],[Billed Amount ($)]]</f>
        <v>0.36487522679067314</v>
      </c>
    </row>
    <row r="109" spans="1:19" x14ac:dyDescent="0.2">
      <c r="A109" s="8" t="s">
        <v>210</v>
      </c>
      <c r="B109" s="4" t="s">
        <v>211</v>
      </c>
      <c r="C109" s="5">
        <v>45</v>
      </c>
      <c r="D109" s="4" t="s">
        <v>37</v>
      </c>
      <c r="E109" s="4" t="s">
        <v>20</v>
      </c>
      <c r="F109" s="4" t="s">
        <v>82</v>
      </c>
      <c r="G109" s="4" t="s">
        <v>83</v>
      </c>
      <c r="H109" s="4" t="s">
        <v>33</v>
      </c>
      <c r="I109" s="21">
        <v>45387</v>
      </c>
      <c r="J109" s="21" t="str">
        <f>TEXT(Claims_data[[#This Row],[Service Date]],"mmm")</f>
        <v>Apr</v>
      </c>
      <c r="K109" s="4" t="s">
        <v>24</v>
      </c>
      <c r="L109" s="4" t="s">
        <v>25</v>
      </c>
      <c r="M109" s="6">
        <v>4607.8999999999996</v>
      </c>
      <c r="N109" s="6">
        <v>3161.45</v>
      </c>
      <c r="O109" s="6">
        <v>40.46</v>
      </c>
      <c r="P109" s="6">
        <v>3120.99</v>
      </c>
      <c r="Q109" s="4" t="s">
        <v>43</v>
      </c>
      <c r="R109" s="10" t="s">
        <v>27</v>
      </c>
      <c r="S109" s="30">
        <f>(Claims_data[[#This Row],[Billed Amount ($)]]-Claims_data[[#This Row],[Paid Amount ($)]])/Claims_data[[#This Row],[Billed Amount ($)]]</f>
        <v>0.32268712428655133</v>
      </c>
    </row>
    <row r="110" spans="1:19" x14ac:dyDescent="0.2">
      <c r="A110" s="7" t="s">
        <v>212</v>
      </c>
      <c r="B110" s="1" t="s">
        <v>148</v>
      </c>
      <c r="C110" s="2">
        <v>51</v>
      </c>
      <c r="D110" s="1" t="s">
        <v>19</v>
      </c>
      <c r="E110" s="1" t="s">
        <v>20</v>
      </c>
      <c r="F110" s="1" t="s">
        <v>21</v>
      </c>
      <c r="G110" s="1" t="s">
        <v>22</v>
      </c>
      <c r="H110" s="1" t="s">
        <v>23</v>
      </c>
      <c r="I110" s="20">
        <v>45621</v>
      </c>
      <c r="J110" s="20" t="str">
        <f>TEXT(Claims_data[[#This Row],[Service Date]],"mmm")</f>
        <v>Nov</v>
      </c>
      <c r="K110" s="1" t="s">
        <v>49</v>
      </c>
      <c r="L110" s="1" t="s">
        <v>50</v>
      </c>
      <c r="M110" s="3">
        <v>1116.74</v>
      </c>
      <c r="N110" s="3">
        <v>762.66</v>
      </c>
      <c r="O110" s="3">
        <v>75.12</v>
      </c>
      <c r="P110" s="3">
        <v>687.54</v>
      </c>
      <c r="Q110" s="1" t="s">
        <v>26</v>
      </c>
      <c r="R110" s="9" t="s">
        <v>27</v>
      </c>
      <c r="S110" s="30">
        <f>(Claims_data[[#This Row],[Billed Amount ($)]]-Claims_data[[#This Row],[Paid Amount ($)]])/Claims_data[[#This Row],[Billed Amount ($)]]</f>
        <v>0.38433296917814358</v>
      </c>
    </row>
    <row r="111" spans="1:19" x14ac:dyDescent="0.2">
      <c r="A111" s="8" t="s">
        <v>213</v>
      </c>
      <c r="B111" s="4" t="s">
        <v>164</v>
      </c>
      <c r="C111" s="5">
        <v>39</v>
      </c>
      <c r="D111" s="4" t="s">
        <v>19</v>
      </c>
      <c r="E111" s="4" t="s">
        <v>30</v>
      </c>
      <c r="F111" s="4" t="s">
        <v>39</v>
      </c>
      <c r="G111" s="4" t="s">
        <v>40</v>
      </c>
      <c r="H111" s="4" t="s">
        <v>33</v>
      </c>
      <c r="I111" s="21">
        <v>45324</v>
      </c>
      <c r="J111" s="21" t="str">
        <f>TEXT(Claims_data[[#This Row],[Service Date]],"mmm")</f>
        <v>Feb</v>
      </c>
      <c r="K111" s="4" t="s">
        <v>60</v>
      </c>
      <c r="L111" s="4" t="s">
        <v>61</v>
      </c>
      <c r="M111" s="6">
        <v>3506.47</v>
      </c>
      <c r="N111" s="6">
        <v>2642.29</v>
      </c>
      <c r="O111" s="6">
        <v>83.26</v>
      </c>
      <c r="P111" s="6">
        <v>2559.0300000000002</v>
      </c>
      <c r="Q111" s="4" t="s">
        <v>43</v>
      </c>
      <c r="R111" s="10" t="s">
        <v>27</v>
      </c>
      <c r="S111" s="30">
        <f>(Claims_data[[#This Row],[Billed Amount ($)]]-Claims_data[[#This Row],[Paid Amount ($)]])/Claims_data[[#This Row],[Billed Amount ($)]]</f>
        <v>0.27019766317692712</v>
      </c>
    </row>
    <row r="112" spans="1:19" x14ac:dyDescent="0.2">
      <c r="A112" s="7" t="s">
        <v>214</v>
      </c>
      <c r="B112" s="1" t="s">
        <v>215</v>
      </c>
      <c r="C112" s="2">
        <v>56</v>
      </c>
      <c r="D112" s="1" t="s">
        <v>19</v>
      </c>
      <c r="E112" s="1" t="s">
        <v>20</v>
      </c>
      <c r="F112" s="1" t="s">
        <v>46</v>
      </c>
      <c r="G112" s="1" t="s">
        <v>47</v>
      </c>
      <c r="H112" s="1" t="s">
        <v>48</v>
      </c>
      <c r="I112" s="20">
        <v>45387</v>
      </c>
      <c r="J112" s="20" t="str">
        <f>TEXT(Claims_data[[#This Row],[Service Date]],"mmm")</f>
        <v>Apr</v>
      </c>
      <c r="K112" s="1" t="s">
        <v>34</v>
      </c>
      <c r="L112" s="1" t="s">
        <v>35</v>
      </c>
      <c r="M112" s="3">
        <v>9243.09</v>
      </c>
      <c r="N112" s="3">
        <v>7202.66</v>
      </c>
      <c r="O112" s="3">
        <v>57.63</v>
      </c>
      <c r="P112" s="3">
        <v>7145.03</v>
      </c>
      <c r="Q112" s="1" t="s">
        <v>43</v>
      </c>
      <c r="R112" s="9" t="s">
        <v>44</v>
      </c>
      <c r="S112" s="30">
        <f>(Claims_data[[#This Row],[Billed Amount ($)]]-Claims_data[[#This Row],[Paid Amount ($)]])/Claims_data[[#This Row],[Billed Amount ($)]]</f>
        <v>0.22698686261845338</v>
      </c>
    </row>
    <row r="113" spans="1:19" x14ac:dyDescent="0.2">
      <c r="A113" s="8" t="s">
        <v>216</v>
      </c>
      <c r="B113" s="4" t="s">
        <v>105</v>
      </c>
      <c r="C113" s="5">
        <v>27</v>
      </c>
      <c r="D113" s="4" t="s">
        <v>19</v>
      </c>
      <c r="E113" s="4" t="s">
        <v>20</v>
      </c>
      <c r="F113" s="4" t="s">
        <v>31</v>
      </c>
      <c r="G113" s="4" t="s">
        <v>32</v>
      </c>
      <c r="H113" s="4" t="s">
        <v>33</v>
      </c>
      <c r="I113" s="21">
        <v>45550</v>
      </c>
      <c r="J113" s="21" t="str">
        <f>TEXT(Claims_data[[#This Row],[Service Date]],"mmm")</f>
        <v>Sep</v>
      </c>
      <c r="K113" s="4" t="s">
        <v>65</v>
      </c>
      <c r="L113" s="4" t="s">
        <v>66</v>
      </c>
      <c r="M113" s="6">
        <v>6770.87</v>
      </c>
      <c r="N113" s="6">
        <v>5080.96</v>
      </c>
      <c r="O113" s="6">
        <v>66.040000000000006</v>
      </c>
      <c r="P113" s="6">
        <v>0</v>
      </c>
      <c r="Q113" s="4" t="s">
        <v>51</v>
      </c>
      <c r="R113" s="10" t="s">
        <v>27</v>
      </c>
      <c r="S113" s="30">
        <f>(Claims_data[[#This Row],[Billed Amount ($)]]-Claims_data[[#This Row],[Paid Amount ($)]])/Claims_data[[#This Row],[Billed Amount ($)]]</f>
        <v>1</v>
      </c>
    </row>
    <row r="114" spans="1:19" x14ac:dyDescent="0.2">
      <c r="A114" s="7" t="s">
        <v>217</v>
      </c>
      <c r="B114" s="1" t="s">
        <v>154</v>
      </c>
      <c r="C114" s="2">
        <v>26</v>
      </c>
      <c r="D114" s="1" t="s">
        <v>19</v>
      </c>
      <c r="E114" s="1" t="s">
        <v>20</v>
      </c>
      <c r="F114" s="1" t="s">
        <v>82</v>
      </c>
      <c r="G114" s="1" t="s">
        <v>83</v>
      </c>
      <c r="H114" s="1" t="s">
        <v>33</v>
      </c>
      <c r="I114" s="20">
        <v>45499</v>
      </c>
      <c r="J114" s="20" t="str">
        <f>TEXT(Claims_data[[#This Row],[Service Date]],"mmm")</f>
        <v>Jul</v>
      </c>
      <c r="K114" s="1" t="s">
        <v>60</v>
      </c>
      <c r="L114" s="1" t="s">
        <v>61</v>
      </c>
      <c r="M114" s="3">
        <v>6944.79</v>
      </c>
      <c r="N114" s="3">
        <v>5297.83</v>
      </c>
      <c r="O114" s="3">
        <v>74.3</v>
      </c>
      <c r="P114" s="3">
        <v>5223.53</v>
      </c>
      <c r="Q114" s="1" t="s">
        <v>43</v>
      </c>
      <c r="R114" s="9" t="s">
        <v>44</v>
      </c>
      <c r="S114" s="30">
        <f>(Claims_data[[#This Row],[Billed Amount ($)]]-Claims_data[[#This Row],[Paid Amount ($)]])/Claims_data[[#This Row],[Billed Amount ($)]]</f>
        <v>0.2478491070284343</v>
      </c>
    </row>
    <row r="115" spans="1:19" x14ac:dyDescent="0.2">
      <c r="A115" s="8" t="s">
        <v>218</v>
      </c>
      <c r="B115" s="4" t="s">
        <v>18</v>
      </c>
      <c r="C115" s="5">
        <v>50</v>
      </c>
      <c r="D115" s="4" t="s">
        <v>19</v>
      </c>
      <c r="E115" s="4" t="s">
        <v>30</v>
      </c>
      <c r="F115" s="4" t="s">
        <v>21</v>
      </c>
      <c r="G115" s="4" t="s">
        <v>22</v>
      </c>
      <c r="H115" s="4" t="s">
        <v>23</v>
      </c>
      <c r="I115" s="21">
        <v>45484</v>
      </c>
      <c r="J115" s="21" t="str">
        <f>TEXT(Claims_data[[#This Row],[Service Date]],"mmm")</f>
        <v>Jul</v>
      </c>
      <c r="K115" s="4" t="s">
        <v>60</v>
      </c>
      <c r="L115" s="4" t="s">
        <v>61</v>
      </c>
      <c r="M115" s="6">
        <v>10157.14</v>
      </c>
      <c r="N115" s="6">
        <v>6327.85</v>
      </c>
      <c r="O115" s="6">
        <v>96.55</v>
      </c>
      <c r="P115" s="6">
        <v>6231.3</v>
      </c>
      <c r="Q115" s="4" t="s">
        <v>26</v>
      </c>
      <c r="R115" s="10" t="s">
        <v>27</v>
      </c>
      <c r="S115" s="30">
        <f>(Claims_data[[#This Row],[Billed Amount ($)]]-Claims_data[[#This Row],[Paid Amount ($)]])/Claims_data[[#This Row],[Billed Amount ($)]]</f>
        <v>0.38651037595228571</v>
      </c>
    </row>
    <row r="116" spans="1:19" x14ac:dyDescent="0.2">
      <c r="A116" s="7" t="s">
        <v>219</v>
      </c>
      <c r="B116" s="1" t="s">
        <v>136</v>
      </c>
      <c r="C116" s="2">
        <v>71</v>
      </c>
      <c r="D116" s="1" t="s">
        <v>37</v>
      </c>
      <c r="E116" s="1" t="s">
        <v>20</v>
      </c>
      <c r="F116" s="1" t="s">
        <v>31</v>
      </c>
      <c r="G116" s="1" t="s">
        <v>32</v>
      </c>
      <c r="H116" s="1" t="s">
        <v>33</v>
      </c>
      <c r="I116" s="20">
        <v>45326</v>
      </c>
      <c r="J116" s="20" t="str">
        <f>TEXT(Claims_data[[#This Row],[Service Date]],"mmm")</f>
        <v>Feb</v>
      </c>
      <c r="K116" s="1" t="s">
        <v>60</v>
      </c>
      <c r="L116" s="1" t="s">
        <v>61</v>
      </c>
      <c r="M116" s="3">
        <v>6199.23</v>
      </c>
      <c r="N116" s="3">
        <v>3621.64</v>
      </c>
      <c r="O116" s="3">
        <v>86.29</v>
      </c>
      <c r="P116" s="3">
        <v>3535.35</v>
      </c>
      <c r="Q116" s="1" t="s">
        <v>43</v>
      </c>
      <c r="R116" s="9" t="s">
        <v>27</v>
      </c>
      <c r="S116" s="30">
        <f>(Claims_data[[#This Row],[Billed Amount ($)]]-Claims_data[[#This Row],[Paid Amount ($)]])/Claims_data[[#This Row],[Billed Amount ($)]]</f>
        <v>0.42971143190363964</v>
      </c>
    </row>
    <row r="117" spans="1:19" x14ac:dyDescent="0.2">
      <c r="A117" s="8" t="s">
        <v>220</v>
      </c>
      <c r="B117" s="4" t="s">
        <v>122</v>
      </c>
      <c r="C117" s="5">
        <v>65</v>
      </c>
      <c r="D117" s="4" t="s">
        <v>19</v>
      </c>
      <c r="E117" s="4" t="s">
        <v>38</v>
      </c>
      <c r="F117" s="4" t="s">
        <v>31</v>
      </c>
      <c r="G117" s="4" t="s">
        <v>32</v>
      </c>
      <c r="H117" s="4" t="s">
        <v>33</v>
      </c>
      <c r="I117" s="21">
        <v>45376</v>
      </c>
      <c r="J117" s="21" t="str">
        <f>TEXT(Claims_data[[#This Row],[Service Date]],"mmm")</f>
        <v>Mar</v>
      </c>
      <c r="K117" s="4" t="s">
        <v>73</v>
      </c>
      <c r="L117" s="4" t="s">
        <v>74</v>
      </c>
      <c r="M117" s="6">
        <v>7288.43</v>
      </c>
      <c r="N117" s="6">
        <v>5670.87</v>
      </c>
      <c r="O117" s="6">
        <v>105.22</v>
      </c>
      <c r="P117" s="6">
        <v>5565.65</v>
      </c>
      <c r="Q117" s="4" t="s">
        <v>43</v>
      </c>
      <c r="R117" s="10" t="s">
        <v>44</v>
      </c>
      <c r="S117" s="30">
        <f>(Claims_data[[#This Row],[Billed Amount ($)]]-Claims_data[[#This Row],[Paid Amount ($)]])/Claims_data[[#This Row],[Billed Amount ($)]]</f>
        <v>0.23637189353537053</v>
      </c>
    </row>
    <row r="118" spans="1:19" x14ac:dyDescent="0.2">
      <c r="A118" s="7" t="s">
        <v>221</v>
      </c>
      <c r="B118" s="1" t="s">
        <v>222</v>
      </c>
      <c r="C118" s="2">
        <v>53</v>
      </c>
      <c r="D118" s="1" t="s">
        <v>19</v>
      </c>
      <c r="E118" s="1" t="s">
        <v>38</v>
      </c>
      <c r="F118" s="1" t="s">
        <v>82</v>
      </c>
      <c r="G118" s="1" t="s">
        <v>83</v>
      </c>
      <c r="H118" s="1" t="s">
        <v>33</v>
      </c>
      <c r="I118" s="20">
        <v>45462</v>
      </c>
      <c r="J118" s="20" t="str">
        <f>TEXT(Claims_data[[#This Row],[Service Date]],"mmm")</f>
        <v>Jun</v>
      </c>
      <c r="K118" s="1" t="s">
        <v>49</v>
      </c>
      <c r="L118" s="1" t="s">
        <v>50</v>
      </c>
      <c r="M118" s="3">
        <v>10391.33</v>
      </c>
      <c r="N118" s="3">
        <v>7670.52</v>
      </c>
      <c r="O118" s="3">
        <v>39.619999999999997</v>
      </c>
      <c r="P118" s="3">
        <v>7630.9</v>
      </c>
      <c r="Q118" s="1" t="s">
        <v>43</v>
      </c>
      <c r="R118" s="9" t="s">
        <v>27</v>
      </c>
      <c r="S118" s="30">
        <f>(Claims_data[[#This Row],[Billed Amount ($)]]-Claims_data[[#This Row],[Paid Amount ($)]])/Claims_data[[#This Row],[Billed Amount ($)]]</f>
        <v>0.2656474195314748</v>
      </c>
    </row>
    <row r="119" spans="1:19" x14ac:dyDescent="0.2">
      <c r="A119" s="8" t="s">
        <v>223</v>
      </c>
      <c r="B119" s="4" t="s">
        <v>72</v>
      </c>
      <c r="C119" s="5">
        <v>66</v>
      </c>
      <c r="D119" s="4" t="s">
        <v>37</v>
      </c>
      <c r="E119" s="4" t="s">
        <v>30</v>
      </c>
      <c r="F119" s="4" t="s">
        <v>82</v>
      </c>
      <c r="G119" s="4" t="s">
        <v>83</v>
      </c>
      <c r="H119" s="4" t="s">
        <v>33</v>
      </c>
      <c r="I119" s="21">
        <v>45342</v>
      </c>
      <c r="J119" s="21" t="str">
        <f>TEXT(Claims_data[[#This Row],[Service Date]],"mmm")</f>
        <v>Feb</v>
      </c>
      <c r="K119" s="4" t="s">
        <v>60</v>
      </c>
      <c r="L119" s="4" t="s">
        <v>61</v>
      </c>
      <c r="M119" s="6">
        <v>3828.33</v>
      </c>
      <c r="N119" s="6">
        <v>2624.6</v>
      </c>
      <c r="O119" s="6">
        <v>27.4</v>
      </c>
      <c r="P119" s="6">
        <v>2597.1999999999998</v>
      </c>
      <c r="Q119" s="4" t="s">
        <v>43</v>
      </c>
      <c r="R119" s="10" t="s">
        <v>44</v>
      </c>
      <c r="S119" s="30">
        <f>(Claims_data[[#This Row],[Billed Amount ($)]]-Claims_data[[#This Row],[Paid Amount ($)]])/Claims_data[[#This Row],[Billed Amount ($)]]</f>
        <v>0.32158408496655205</v>
      </c>
    </row>
    <row r="120" spans="1:19" x14ac:dyDescent="0.2">
      <c r="A120" s="7" t="s">
        <v>224</v>
      </c>
      <c r="B120" s="1" t="s">
        <v>191</v>
      </c>
      <c r="C120" s="2">
        <v>37</v>
      </c>
      <c r="D120" s="1" t="s">
        <v>19</v>
      </c>
      <c r="E120" s="1" t="s">
        <v>30</v>
      </c>
      <c r="F120" s="1" t="s">
        <v>82</v>
      </c>
      <c r="G120" s="1" t="s">
        <v>83</v>
      </c>
      <c r="H120" s="1" t="s">
        <v>33</v>
      </c>
      <c r="I120" s="20">
        <v>45551</v>
      </c>
      <c r="J120" s="20" t="str">
        <f>TEXT(Claims_data[[#This Row],[Service Date]],"mmm")</f>
        <v>Sep</v>
      </c>
      <c r="K120" s="1" t="s">
        <v>85</v>
      </c>
      <c r="L120" s="1" t="s">
        <v>86</v>
      </c>
      <c r="M120" s="3">
        <v>11457.64</v>
      </c>
      <c r="N120" s="3">
        <v>8841.59</v>
      </c>
      <c r="O120" s="3">
        <v>25.33</v>
      </c>
      <c r="P120" s="3">
        <v>8816.26</v>
      </c>
      <c r="Q120" s="1" t="s">
        <v>26</v>
      </c>
      <c r="R120" s="9" t="s">
        <v>27</v>
      </c>
      <c r="S120" s="30">
        <f>(Claims_data[[#This Row],[Billed Amount ($)]]-Claims_data[[#This Row],[Paid Amount ($)]])/Claims_data[[#This Row],[Billed Amount ($)]]</f>
        <v>0.23053438578974372</v>
      </c>
    </row>
    <row r="121" spans="1:19" x14ac:dyDescent="0.2">
      <c r="A121" s="8" t="s">
        <v>225</v>
      </c>
      <c r="B121" s="4" t="s">
        <v>103</v>
      </c>
      <c r="C121" s="5">
        <v>66</v>
      </c>
      <c r="D121" s="4" t="s">
        <v>37</v>
      </c>
      <c r="E121" s="4" t="s">
        <v>20</v>
      </c>
      <c r="F121" s="4" t="s">
        <v>39</v>
      </c>
      <c r="G121" s="4" t="s">
        <v>40</v>
      </c>
      <c r="H121" s="4" t="s">
        <v>33</v>
      </c>
      <c r="I121" s="21">
        <v>45330</v>
      </c>
      <c r="J121" s="21" t="str">
        <f>TEXT(Claims_data[[#This Row],[Service Date]],"mmm")</f>
        <v>Feb</v>
      </c>
      <c r="K121" s="4" t="s">
        <v>125</v>
      </c>
      <c r="L121" s="4" t="s">
        <v>126</v>
      </c>
      <c r="M121" s="6">
        <v>9759.9599999999991</v>
      </c>
      <c r="N121" s="6">
        <v>7819.81</v>
      </c>
      <c r="O121" s="6">
        <v>147.71</v>
      </c>
      <c r="P121" s="6">
        <v>7672.1</v>
      </c>
      <c r="Q121" s="4" t="s">
        <v>43</v>
      </c>
      <c r="R121" s="10" t="s">
        <v>44</v>
      </c>
      <c r="S121" s="30">
        <f>(Claims_data[[#This Row],[Billed Amount ($)]]-Claims_data[[#This Row],[Paid Amount ($)]])/Claims_data[[#This Row],[Billed Amount ($)]]</f>
        <v>0.21392095869245356</v>
      </c>
    </row>
    <row r="122" spans="1:19" x14ac:dyDescent="0.2">
      <c r="A122" s="7" t="s">
        <v>226</v>
      </c>
      <c r="B122" s="1" t="s">
        <v>29</v>
      </c>
      <c r="C122" s="2">
        <v>74</v>
      </c>
      <c r="D122" s="1" t="s">
        <v>19</v>
      </c>
      <c r="E122" s="1" t="s">
        <v>30</v>
      </c>
      <c r="F122" s="1" t="s">
        <v>82</v>
      </c>
      <c r="G122" s="1" t="s">
        <v>83</v>
      </c>
      <c r="H122" s="1" t="s">
        <v>33</v>
      </c>
      <c r="I122" s="20">
        <v>45555</v>
      </c>
      <c r="J122" s="20" t="str">
        <f>TEXT(Claims_data[[#This Row],[Service Date]],"mmm")</f>
        <v>Sep</v>
      </c>
      <c r="K122" s="1" t="s">
        <v>85</v>
      </c>
      <c r="L122" s="1" t="s">
        <v>86</v>
      </c>
      <c r="M122" s="3">
        <v>7376.19</v>
      </c>
      <c r="N122" s="3">
        <v>4862.16</v>
      </c>
      <c r="O122" s="3">
        <v>139.33000000000001</v>
      </c>
      <c r="P122" s="3">
        <v>0</v>
      </c>
      <c r="Q122" s="1" t="s">
        <v>51</v>
      </c>
      <c r="R122" s="9" t="s">
        <v>27</v>
      </c>
      <c r="S122" s="30">
        <f>(Claims_data[[#This Row],[Billed Amount ($)]]-Claims_data[[#This Row],[Paid Amount ($)]])/Claims_data[[#This Row],[Billed Amount ($)]]</f>
        <v>1</v>
      </c>
    </row>
    <row r="123" spans="1:19" x14ac:dyDescent="0.2">
      <c r="A123" s="8" t="s">
        <v>227</v>
      </c>
      <c r="B123" s="4" t="s">
        <v>92</v>
      </c>
      <c r="C123" s="5">
        <v>46</v>
      </c>
      <c r="D123" s="4" t="s">
        <v>37</v>
      </c>
      <c r="E123" s="4" t="s">
        <v>30</v>
      </c>
      <c r="F123" s="4" t="s">
        <v>21</v>
      </c>
      <c r="G123" s="4" t="s">
        <v>22</v>
      </c>
      <c r="H123" s="4" t="s">
        <v>23</v>
      </c>
      <c r="I123" s="21">
        <v>45465</v>
      </c>
      <c r="J123" s="21" t="str">
        <f>TEXT(Claims_data[[#This Row],[Service Date]],"mmm")</f>
        <v>Jun</v>
      </c>
      <c r="K123" s="4" t="s">
        <v>60</v>
      </c>
      <c r="L123" s="4" t="s">
        <v>61</v>
      </c>
      <c r="M123" s="6">
        <v>1269.9000000000001</v>
      </c>
      <c r="N123" s="6">
        <v>956.89</v>
      </c>
      <c r="O123" s="6">
        <v>56.94</v>
      </c>
      <c r="P123" s="6">
        <v>899.95</v>
      </c>
      <c r="Q123" s="4" t="s">
        <v>26</v>
      </c>
      <c r="R123" s="10" t="s">
        <v>27</v>
      </c>
      <c r="S123" s="30">
        <f>(Claims_data[[#This Row],[Billed Amount ($)]]-Claims_data[[#This Row],[Paid Amount ($)]])/Claims_data[[#This Row],[Billed Amount ($)]]</f>
        <v>0.29132215135050005</v>
      </c>
    </row>
    <row r="124" spans="1:19" x14ac:dyDescent="0.2">
      <c r="A124" s="7" t="s">
        <v>228</v>
      </c>
      <c r="B124" s="1" t="s">
        <v>140</v>
      </c>
      <c r="C124" s="2">
        <v>60</v>
      </c>
      <c r="D124" s="1" t="s">
        <v>19</v>
      </c>
      <c r="E124" s="1" t="s">
        <v>30</v>
      </c>
      <c r="F124" s="1" t="s">
        <v>46</v>
      </c>
      <c r="G124" s="1" t="s">
        <v>47</v>
      </c>
      <c r="H124" s="1" t="s">
        <v>48</v>
      </c>
      <c r="I124" s="20">
        <v>45622</v>
      </c>
      <c r="J124" s="20" t="str">
        <f>TEXT(Claims_data[[#This Row],[Service Date]],"mmm")</f>
        <v>Nov</v>
      </c>
      <c r="K124" s="1" t="s">
        <v>60</v>
      </c>
      <c r="L124" s="1" t="s">
        <v>61</v>
      </c>
      <c r="M124" s="3">
        <v>8426.99</v>
      </c>
      <c r="N124" s="3">
        <v>5625.75</v>
      </c>
      <c r="O124" s="3">
        <v>97.36</v>
      </c>
      <c r="P124" s="3">
        <v>5528.39</v>
      </c>
      <c r="Q124" s="1" t="s">
        <v>43</v>
      </c>
      <c r="R124" s="9" t="s">
        <v>44</v>
      </c>
      <c r="S124" s="30">
        <f>(Claims_data[[#This Row],[Billed Amount ($)]]-Claims_data[[#This Row],[Paid Amount ($)]])/Claims_data[[#This Row],[Billed Amount ($)]]</f>
        <v>0.34396623230833306</v>
      </c>
    </row>
    <row r="125" spans="1:19" x14ac:dyDescent="0.2">
      <c r="A125" s="8" t="s">
        <v>229</v>
      </c>
      <c r="B125" s="4" t="s">
        <v>140</v>
      </c>
      <c r="C125" s="5">
        <v>36</v>
      </c>
      <c r="D125" s="4" t="s">
        <v>37</v>
      </c>
      <c r="E125" s="4" t="s">
        <v>38</v>
      </c>
      <c r="F125" s="4" t="s">
        <v>82</v>
      </c>
      <c r="G125" s="4" t="s">
        <v>83</v>
      </c>
      <c r="H125" s="4" t="s">
        <v>33</v>
      </c>
      <c r="I125" s="21">
        <v>45347</v>
      </c>
      <c r="J125" s="21" t="str">
        <f>TEXT(Claims_data[[#This Row],[Service Date]],"mmm")</f>
        <v>Feb</v>
      </c>
      <c r="K125" s="4" t="s">
        <v>41</v>
      </c>
      <c r="L125" s="4" t="s">
        <v>42</v>
      </c>
      <c r="M125" s="6">
        <v>7805.39</v>
      </c>
      <c r="N125" s="6">
        <v>5284.42</v>
      </c>
      <c r="O125" s="6">
        <v>67.040000000000006</v>
      </c>
      <c r="P125" s="6">
        <v>5217.38</v>
      </c>
      <c r="Q125" s="4" t="s">
        <v>43</v>
      </c>
      <c r="R125" s="10" t="s">
        <v>44</v>
      </c>
      <c r="S125" s="30">
        <f>(Claims_data[[#This Row],[Billed Amount ($)]]-Claims_data[[#This Row],[Paid Amount ($)]])/Claims_data[[#This Row],[Billed Amount ($)]]</f>
        <v>0.33156703252496034</v>
      </c>
    </row>
    <row r="126" spans="1:19" x14ac:dyDescent="0.2">
      <c r="A126" s="7" t="s">
        <v>230</v>
      </c>
      <c r="B126" s="1" t="s">
        <v>122</v>
      </c>
      <c r="C126" s="2">
        <v>59</v>
      </c>
      <c r="D126" s="1" t="s">
        <v>37</v>
      </c>
      <c r="E126" s="1" t="s">
        <v>30</v>
      </c>
      <c r="F126" s="1" t="s">
        <v>31</v>
      </c>
      <c r="G126" s="1" t="s">
        <v>32</v>
      </c>
      <c r="H126" s="1" t="s">
        <v>33</v>
      </c>
      <c r="I126" s="20">
        <v>45362</v>
      </c>
      <c r="J126" s="20" t="str">
        <f>TEXT(Claims_data[[#This Row],[Service Date]],"mmm")</f>
        <v>Mar</v>
      </c>
      <c r="K126" s="1" t="s">
        <v>34</v>
      </c>
      <c r="L126" s="1" t="s">
        <v>35</v>
      </c>
      <c r="M126" s="3">
        <v>1986.1</v>
      </c>
      <c r="N126" s="3">
        <v>1268.5999999999999</v>
      </c>
      <c r="O126" s="3">
        <v>122.46</v>
      </c>
      <c r="P126" s="3">
        <v>1146.1400000000001</v>
      </c>
      <c r="Q126" s="1" t="s">
        <v>26</v>
      </c>
      <c r="R126" s="9" t="s">
        <v>27</v>
      </c>
      <c r="S126" s="30">
        <f>(Claims_data[[#This Row],[Billed Amount ($)]]-Claims_data[[#This Row],[Paid Amount ($)]])/Claims_data[[#This Row],[Billed Amount ($)]]</f>
        <v>0.4229192890589597</v>
      </c>
    </row>
    <row r="127" spans="1:19" x14ac:dyDescent="0.2">
      <c r="A127" s="8" t="s">
        <v>231</v>
      </c>
      <c r="B127" s="4" t="s">
        <v>211</v>
      </c>
      <c r="C127" s="5">
        <v>53</v>
      </c>
      <c r="D127" s="4" t="s">
        <v>37</v>
      </c>
      <c r="E127" s="4" t="s">
        <v>38</v>
      </c>
      <c r="F127" s="4" t="s">
        <v>39</v>
      </c>
      <c r="G127" s="4" t="s">
        <v>40</v>
      </c>
      <c r="H127" s="4" t="s">
        <v>33</v>
      </c>
      <c r="I127" s="21">
        <v>45363</v>
      </c>
      <c r="J127" s="21" t="str">
        <f>TEXT(Claims_data[[#This Row],[Service Date]],"mmm")</f>
        <v>Mar</v>
      </c>
      <c r="K127" s="4" t="s">
        <v>49</v>
      </c>
      <c r="L127" s="4" t="s">
        <v>50</v>
      </c>
      <c r="M127" s="6">
        <v>2072.63</v>
      </c>
      <c r="N127" s="6">
        <v>1656.87</v>
      </c>
      <c r="O127" s="6">
        <v>120.24</v>
      </c>
      <c r="P127" s="6">
        <v>1536.63</v>
      </c>
      <c r="Q127" s="4" t="s">
        <v>43</v>
      </c>
      <c r="R127" s="10" t="s">
        <v>27</v>
      </c>
      <c r="S127" s="30">
        <f>(Claims_data[[#This Row],[Billed Amount ($)]]-Claims_data[[#This Row],[Paid Amount ($)]])/Claims_data[[#This Row],[Billed Amount ($)]]</f>
        <v>0.2586086276855975</v>
      </c>
    </row>
    <row r="128" spans="1:19" x14ac:dyDescent="0.2">
      <c r="A128" s="7" t="s">
        <v>232</v>
      </c>
      <c r="B128" s="1" t="s">
        <v>140</v>
      </c>
      <c r="C128" s="2">
        <v>75</v>
      </c>
      <c r="D128" s="1" t="s">
        <v>19</v>
      </c>
      <c r="E128" s="1" t="s">
        <v>20</v>
      </c>
      <c r="F128" s="1" t="s">
        <v>82</v>
      </c>
      <c r="G128" s="1" t="s">
        <v>83</v>
      </c>
      <c r="H128" s="1" t="s">
        <v>33</v>
      </c>
      <c r="I128" s="20">
        <v>45424</v>
      </c>
      <c r="J128" s="20" t="str">
        <f>TEXT(Claims_data[[#This Row],[Service Date]],"mmm")</f>
        <v>May</v>
      </c>
      <c r="K128" s="1" t="s">
        <v>85</v>
      </c>
      <c r="L128" s="1" t="s">
        <v>86</v>
      </c>
      <c r="M128" s="3">
        <v>9065.84</v>
      </c>
      <c r="N128" s="3">
        <v>7117.95</v>
      </c>
      <c r="O128" s="3">
        <v>50.42</v>
      </c>
      <c r="P128" s="3">
        <v>7067.53</v>
      </c>
      <c r="Q128" s="1" t="s">
        <v>43</v>
      </c>
      <c r="R128" s="9" t="s">
        <v>44</v>
      </c>
      <c r="S128" s="30">
        <f>(Claims_data[[#This Row],[Billed Amount ($)]]-Claims_data[[#This Row],[Paid Amount ($)]])/Claims_data[[#This Row],[Billed Amount ($)]]</f>
        <v>0.22042193552941597</v>
      </c>
    </row>
    <row r="129" spans="1:19" x14ac:dyDescent="0.2">
      <c r="A129" s="8" t="s">
        <v>233</v>
      </c>
      <c r="B129" s="4" t="s">
        <v>55</v>
      </c>
      <c r="C129" s="5">
        <v>33</v>
      </c>
      <c r="D129" s="4" t="s">
        <v>19</v>
      </c>
      <c r="E129" s="4" t="s">
        <v>20</v>
      </c>
      <c r="F129" s="4" t="s">
        <v>46</v>
      </c>
      <c r="G129" s="4" t="s">
        <v>47</v>
      </c>
      <c r="H129" s="4" t="s">
        <v>48</v>
      </c>
      <c r="I129" s="21">
        <v>45494</v>
      </c>
      <c r="J129" s="21" t="str">
        <f>TEXT(Claims_data[[#This Row],[Service Date]],"mmm")</f>
        <v>Jul</v>
      </c>
      <c r="K129" s="4" t="s">
        <v>85</v>
      </c>
      <c r="L129" s="4" t="s">
        <v>86</v>
      </c>
      <c r="M129" s="6">
        <v>6109.44</v>
      </c>
      <c r="N129" s="6">
        <v>4127.53</v>
      </c>
      <c r="O129" s="6">
        <v>41.07</v>
      </c>
      <c r="P129" s="6">
        <v>4086.46</v>
      </c>
      <c r="Q129" s="4" t="s">
        <v>43</v>
      </c>
      <c r="R129" s="10" t="s">
        <v>44</v>
      </c>
      <c r="S129" s="30">
        <f>(Claims_data[[#This Row],[Billed Amount ($)]]-Claims_data[[#This Row],[Paid Amount ($)]])/Claims_data[[#This Row],[Billed Amount ($)]]</f>
        <v>0.33112363817305673</v>
      </c>
    </row>
    <row r="130" spans="1:19" x14ac:dyDescent="0.2">
      <c r="A130" s="7" t="s">
        <v>234</v>
      </c>
      <c r="B130" s="1" t="s">
        <v>68</v>
      </c>
      <c r="C130" s="2">
        <v>35</v>
      </c>
      <c r="D130" s="1" t="s">
        <v>19</v>
      </c>
      <c r="E130" s="1" t="s">
        <v>38</v>
      </c>
      <c r="F130" s="1" t="s">
        <v>82</v>
      </c>
      <c r="G130" s="1" t="s">
        <v>83</v>
      </c>
      <c r="H130" s="1" t="s">
        <v>33</v>
      </c>
      <c r="I130" s="20">
        <v>45339</v>
      </c>
      <c r="J130" s="20" t="str">
        <f>TEXT(Claims_data[[#This Row],[Service Date]],"mmm")</f>
        <v>Feb</v>
      </c>
      <c r="K130" s="1" t="s">
        <v>60</v>
      </c>
      <c r="L130" s="1" t="s">
        <v>61</v>
      </c>
      <c r="M130" s="3">
        <v>8580.1</v>
      </c>
      <c r="N130" s="3">
        <v>6047.02</v>
      </c>
      <c r="O130" s="3">
        <v>36.21</v>
      </c>
      <c r="P130" s="3">
        <v>6010.81</v>
      </c>
      <c r="Q130" s="1" t="s">
        <v>43</v>
      </c>
      <c r="R130" s="9" t="s">
        <v>27</v>
      </c>
      <c r="S130" s="30">
        <f>(Claims_data[[#This Row],[Billed Amount ($)]]-Claims_data[[#This Row],[Paid Amount ($)]])/Claims_data[[#This Row],[Billed Amount ($)]]</f>
        <v>0.29944755888626007</v>
      </c>
    </row>
    <row r="131" spans="1:19" x14ac:dyDescent="0.2">
      <c r="A131" s="8" t="s">
        <v>235</v>
      </c>
      <c r="B131" s="4" t="s">
        <v>94</v>
      </c>
      <c r="C131" s="5">
        <v>50</v>
      </c>
      <c r="D131" s="4" t="s">
        <v>19</v>
      </c>
      <c r="E131" s="4" t="s">
        <v>20</v>
      </c>
      <c r="F131" s="4" t="s">
        <v>21</v>
      </c>
      <c r="G131" s="4" t="s">
        <v>22</v>
      </c>
      <c r="H131" s="4" t="s">
        <v>23</v>
      </c>
      <c r="I131" s="21">
        <v>45395</v>
      </c>
      <c r="J131" s="21" t="str">
        <f>TEXT(Claims_data[[#This Row],[Service Date]],"mmm")</f>
        <v>Apr</v>
      </c>
      <c r="K131" s="4" t="s">
        <v>111</v>
      </c>
      <c r="L131" s="4" t="s">
        <v>112</v>
      </c>
      <c r="M131" s="6">
        <v>9827.93</v>
      </c>
      <c r="N131" s="6">
        <v>8013.59</v>
      </c>
      <c r="O131" s="6">
        <v>140.96</v>
      </c>
      <c r="P131" s="6">
        <v>0</v>
      </c>
      <c r="Q131" s="4" t="s">
        <v>51</v>
      </c>
      <c r="R131" s="10" t="s">
        <v>27</v>
      </c>
      <c r="S131" s="30">
        <f>(Claims_data[[#This Row],[Billed Amount ($)]]-Claims_data[[#This Row],[Paid Amount ($)]])/Claims_data[[#This Row],[Billed Amount ($)]]</f>
        <v>1</v>
      </c>
    </row>
    <row r="132" spans="1:19" x14ac:dyDescent="0.2">
      <c r="A132" s="7" t="s">
        <v>236</v>
      </c>
      <c r="B132" s="1" t="s">
        <v>92</v>
      </c>
      <c r="C132" s="2">
        <v>33</v>
      </c>
      <c r="D132" s="1" t="s">
        <v>37</v>
      </c>
      <c r="E132" s="1" t="s">
        <v>38</v>
      </c>
      <c r="F132" s="1" t="s">
        <v>31</v>
      </c>
      <c r="G132" s="1" t="s">
        <v>32</v>
      </c>
      <c r="H132" s="1" t="s">
        <v>33</v>
      </c>
      <c r="I132" s="20">
        <v>45318</v>
      </c>
      <c r="J132" s="20" t="str">
        <f>TEXT(Claims_data[[#This Row],[Service Date]],"mmm")</f>
        <v>Jan</v>
      </c>
      <c r="K132" s="1" t="s">
        <v>60</v>
      </c>
      <c r="L132" s="1" t="s">
        <v>61</v>
      </c>
      <c r="M132" s="3">
        <v>3926.42</v>
      </c>
      <c r="N132" s="3">
        <v>2276.2399999999998</v>
      </c>
      <c r="O132" s="3">
        <v>112.91</v>
      </c>
      <c r="P132" s="3">
        <v>2163.33</v>
      </c>
      <c r="Q132" s="1" t="s">
        <v>43</v>
      </c>
      <c r="R132" s="9" t="s">
        <v>44</v>
      </c>
      <c r="S132" s="30">
        <f>(Claims_data[[#This Row],[Billed Amount ($)]]-Claims_data[[#This Row],[Paid Amount ($)]])/Claims_data[[#This Row],[Billed Amount ($)]]</f>
        <v>0.44903245195368813</v>
      </c>
    </row>
    <row r="133" spans="1:19" x14ac:dyDescent="0.2">
      <c r="A133" s="8" t="s">
        <v>237</v>
      </c>
      <c r="B133" s="4" t="s">
        <v>92</v>
      </c>
      <c r="C133" s="5">
        <v>60</v>
      </c>
      <c r="D133" s="4" t="s">
        <v>19</v>
      </c>
      <c r="E133" s="4" t="s">
        <v>20</v>
      </c>
      <c r="F133" s="4" t="s">
        <v>39</v>
      </c>
      <c r="G133" s="4" t="s">
        <v>40</v>
      </c>
      <c r="H133" s="4" t="s">
        <v>33</v>
      </c>
      <c r="I133" s="21">
        <v>45529</v>
      </c>
      <c r="J133" s="21" t="str">
        <f>TEXT(Claims_data[[#This Row],[Service Date]],"mmm")</f>
        <v>Aug</v>
      </c>
      <c r="K133" s="4" t="s">
        <v>41</v>
      </c>
      <c r="L133" s="4" t="s">
        <v>42</v>
      </c>
      <c r="M133" s="6">
        <v>7441.88</v>
      </c>
      <c r="N133" s="6">
        <v>6115.42</v>
      </c>
      <c r="O133" s="6">
        <v>22.47</v>
      </c>
      <c r="P133" s="6">
        <v>6092.95</v>
      </c>
      <c r="Q133" s="4" t="s">
        <v>43</v>
      </c>
      <c r="R133" s="10" t="s">
        <v>44</v>
      </c>
      <c r="S133" s="30">
        <f>(Claims_data[[#This Row],[Billed Amount ($)]]-Claims_data[[#This Row],[Paid Amount ($)]])/Claims_data[[#This Row],[Billed Amount ($)]]</f>
        <v>0.18126199293726858</v>
      </c>
    </row>
    <row r="134" spans="1:19" x14ac:dyDescent="0.2">
      <c r="A134" s="7" t="s">
        <v>238</v>
      </c>
      <c r="B134" s="1" t="s">
        <v>72</v>
      </c>
      <c r="C134" s="2">
        <v>32</v>
      </c>
      <c r="D134" s="1" t="s">
        <v>19</v>
      </c>
      <c r="E134" s="1" t="s">
        <v>30</v>
      </c>
      <c r="F134" s="1" t="s">
        <v>46</v>
      </c>
      <c r="G134" s="1" t="s">
        <v>47</v>
      </c>
      <c r="H134" s="1" t="s">
        <v>48</v>
      </c>
      <c r="I134" s="20">
        <v>45340</v>
      </c>
      <c r="J134" s="20" t="str">
        <f>TEXT(Claims_data[[#This Row],[Service Date]],"mmm")</f>
        <v>Feb</v>
      </c>
      <c r="K134" s="1" t="s">
        <v>34</v>
      </c>
      <c r="L134" s="1" t="s">
        <v>35</v>
      </c>
      <c r="M134" s="3">
        <v>715.83</v>
      </c>
      <c r="N134" s="3">
        <v>483.86</v>
      </c>
      <c r="O134" s="3">
        <v>123.21</v>
      </c>
      <c r="P134" s="3">
        <v>0</v>
      </c>
      <c r="Q134" s="1" t="s">
        <v>51</v>
      </c>
      <c r="R134" s="9" t="s">
        <v>27</v>
      </c>
      <c r="S134" s="30">
        <f>(Claims_data[[#This Row],[Billed Amount ($)]]-Claims_data[[#This Row],[Paid Amount ($)]])/Claims_data[[#This Row],[Billed Amount ($)]]</f>
        <v>1</v>
      </c>
    </row>
    <row r="135" spans="1:19" x14ac:dyDescent="0.2">
      <c r="A135" s="8" t="s">
        <v>239</v>
      </c>
      <c r="B135" s="4" t="s">
        <v>79</v>
      </c>
      <c r="C135" s="5">
        <v>61</v>
      </c>
      <c r="D135" s="4" t="s">
        <v>19</v>
      </c>
      <c r="E135" s="4" t="s">
        <v>20</v>
      </c>
      <c r="F135" s="4" t="s">
        <v>82</v>
      </c>
      <c r="G135" s="4" t="s">
        <v>83</v>
      </c>
      <c r="H135" s="4" t="s">
        <v>33</v>
      </c>
      <c r="I135" s="21">
        <v>45404</v>
      </c>
      <c r="J135" s="21" t="str">
        <f>TEXT(Claims_data[[#This Row],[Service Date]],"mmm")</f>
        <v>Apr</v>
      </c>
      <c r="K135" s="4" t="s">
        <v>65</v>
      </c>
      <c r="L135" s="4" t="s">
        <v>66</v>
      </c>
      <c r="M135" s="6">
        <v>8664.75</v>
      </c>
      <c r="N135" s="6">
        <v>5522.75</v>
      </c>
      <c r="O135" s="6">
        <v>20.2</v>
      </c>
      <c r="P135" s="6">
        <v>5502.55</v>
      </c>
      <c r="Q135" s="4" t="s">
        <v>43</v>
      </c>
      <c r="R135" s="10" t="s">
        <v>27</v>
      </c>
      <c r="S135" s="30">
        <f>(Claims_data[[#This Row],[Billed Amount ($)]]-Claims_data[[#This Row],[Paid Amount ($)]])/Claims_data[[#This Row],[Billed Amount ($)]]</f>
        <v>0.36494994085230387</v>
      </c>
    </row>
    <row r="136" spans="1:19" x14ac:dyDescent="0.2">
      <c r="A136" s="7" t="s">
        <v>240</v>
      </c>
      <c r="B136" s="1" t="s">
        <v>88</v>
      </c>
      <c r="C136" s="2">
        <v>26</v>
      </c>
      <c r="D136" s="1" t="s">
        <v>19</v>
      </c>
      <c r="E136" s="1" t="s">
        <v>38</v>
      </c>
      <c r="F136" s="1" t="s">
        <v>46</v>
      </c>
      <c r="G136" s="1" t="s">
        <v>47</v>
      </c>
      <c r="H136" s="1" t="s">
        <v>48</v>
      </c>
      <c r="I136" s="20">
        <v>45324</v>
      </c>
      <c r="J136" s="20" t="str">
        <f>TEXT(Claims_data[[#This Row],[Service Date]],"mmm")</f>
        <v>Feb</v>
      </c>
      <c r="K136" s="1" t="s">
        <v>65</v>
      </c>
      <c r="L136" s="1" t="s">
        <v>66</v>
      </c>
      <c r="M136" s="3">
        <v>11447.83</v>
      </c>
      <c r="N136" s="3">
        <v>8164.87</v>
      </c>
      <c r="O136" s="3">
        <v>122.23</v>
      </c>
      <c r="P136" s="3">
        <v>8042.64</v>
      </c>
      <c r="Q136" s="1" t="s">
        <v>26</v>
      </c>
      <c r="R136" s="9" t="s">
        <v>44</v>
      </c>
      <c r="S136" s="30">
        <f>(Claims_data[[#This Row],[Billed Amount ($)]]-Claims_data[[#This Row],[Paid Amount ($)]])/Claims_data[[#This Row],[Billed Amount ($)]]</f>
        <v>0.29745287971606843</v>
      </c>
    </row>
    <row r="137" spans="1:19" x14ac:dyDescent="0.2">
      <c r="A137" s="8" t="s">
        <v>241</v>
      </c>
      <c r="B137" s="4" t="s">
        <v>122</v>
      </c>
      <c r="C137" s="5">
        <v>62</v>
      </c>
      <c r="D137" s="4" t="s">
        <v>19</v>
      </c>
      <c r="E137" s="4" t="s">
        <v>20</v>
      </c>
      <c r="F137" s="4" t="s">
        <v>46</v>
      </c>
      <c r="G137" s="4" t="s">
        <v>47</v>
      </c>
      <c r="H137" s="4" t="s">
        <v>48</v>
      </c>
      <c r="I137" s="21">
        <v>45628</v>
      </c>
      <c r="J137" s="21" t="str">
        <f>TEXT(Claims_data[[#This Row],[Service Date]],"mmm")</f>
        <v>Dec</v>
      </c>
      <c r="K137" s="4" t="s">
        <v>60</v>
      </c>
      <c r="L137" s="4" t="s">
        <v>61</v>
      </c>
      <c r="M137" s="6">
        <v>342.47</v>
      </c>
      <c r="N137" s="6">
        <v>269.37</v>
      </c>
      <c r="O137" s="6">
        <v>64.819999999999993</v>
      </c>
      <c r="P137" s="6">
        <v>204.55</v>
      </c>
      <c r="Q137" s="4" t="s">
        <v>43</v>
      </c>
      <c r="R137" s="10" t="s">
        <v>44</v>
      </c>
      <c r="S137" s="30">
        <f>(Claims_data[[#This Row],[Billed Amount ($)]]-Claims_data[[#This Row],[Paid Amount ($)]])/Claims_data[[#This Row],[Billed Amount ($)]]</f>
        <v>0.40272140625456243</v>
      </c>
    </row>
    <row r="138" spans="1:19" x14ac:dyDescent="0.2">
      <c r="A138" s="7" t="s">
        <v>242</v>
      </c>
      <c r="B138" s="1" t="s">
        <v>128</v>
      </c>
      <c r="C138" s="2">
        <v>36</v>
      </c>
      <c r="D138" s="1" t="s">
        <v>37</v>
      </c>
      <c r="E138" s="1" t="s">
        <v>20</v>
      </c>
      <c r="F138" s="1" t="s">
        <v>46</v>
      </c>
      <c r="G138" s="1" t="s">
        <v>47</v>
      </c>
      <c r="H138" s="1" t="s">
        <v>48</v>
      </c>
      <c r="I138" s="20">
        <v>45619</v>
      </c>
      <c r="J138" s="20" t="str">
        <f>TEXT(Claims_data[[#This Row],[Service Date]],"mmm")</f>
        <v>Nov</v>
      </c>
      <c r="K138" s="1" t="s">
        <v>65</v>
      </c>
      <c r="L138" s="1" t="s">
        <v>66</v>
      </c>
      <c r="M138" s="3">
        <v>2224.81</v>
      </c>
      <c r="N138" s="3">
        <v>1743.68</v>
      </c>
      <c r="O138" s="3">
        <v>80.400000000000006</v>
      </c>
      <c r="P138" s="3">
        <v>0</v>
      </c>
      <c r="Q138" s="1" t="s">
        <v>51</v>
      </c>
      <c r="R138" s="9" t="s">
        <v>44</v>
      </c>
      <c r="S138" s="30">
        <f>(Claims_data[[#This Row],[Billed Amount ($)]]-Claims_data[[#This Row],[Paid Amount ($)]])/Claims_data[[#This Row],[Billed Amount ($)]]</f>
        <v>1</v>
      </c>
    </row>
    <row r="139" spans="1:19" x14ac:dyDescent="0.2">
      <c r="A139" s="8" t="s">
        <v>243</v>
      </c>
      <c r="B139" s="4" t="s">
        <v>103</v>
      </c>
      <c r="C139" s="5">
        <v>50</v>
      </c>
      <c r="D139" s="4" t="s">
        <v>19</v>
      </c>
      <c r="E139" s="4" t="s">
        <v>38</v>
      </c>
      <c r="F139" s="4" t="s">
        <v>46</v>
      </c>
      <c r="G139" s="4" t="s">
        <v>47</v>
      </c>
      <c r="H139" s="4" t="s">
        <v>48</v>
      </c>
      <c r="I139" s="21">
        <v>45384</v>
      </c>
      <c r="J139" s="21" t="str">
        <f>TEXT(Claims_data[[#This Row],[Service Date]],"mmm")</f>
        <v>Apr</v>
      </c>
      <c r="K139" s="4" t="s">
        <v>125</v>
      </c>
      <c r="L139" s="4" t="s">
        <v>126</v>
      </c>
      <c r="M139" s="6">
        <v>669.1</v>
      </c>
      <c r="N139" s="6">
        <v>408.04</v>
      </c>
      <c r="O139" s="6">
        <v>25.45</v>
      </c>
      <c r="P139" s="6">
        <v>382.59</v>
      </c>
      <c r="Q139" s="4" t="s">
        <v>43</v>
      </c>
      <c r="R139" s="10" t="s">
        <v>27</v>
      </c>
      <c r="S139" s="30">
        <f>(Claims_data[[#This Row],[Billed Amount ($)]]-Claims_data[[#This Row],[Paid Amount ($)]])/Claims_data[[#This Row],[Billed Amount ($)]]</f>
        <v>0.42820206247197734</v>
      </c>
    </row>
    <row r="140" spans="1:19" x14ac:dyDescent="0.2">
      <c r="A140" s="7" t="s">
        <v>244</v>
      </c>
      <c r="B140" s="1" t="s">
        <v>63</v>
      </c>
      <c r="C140" s="2">
        <v>50</v>
      </c>
      <c r="D140" s="1" t="s">
        <v>19</v>
      </c>
      <c r="E140" s="1" t="s">
        <v>38</v>
      </c>
      <c r="F140" s="1" t="s">
        <v>46</v>
      </c>
      <c r="G140" s="1" t="s">
        <v>47</v>
      </c>
      <c r="H140" s="1" t="s">
        <v>48</v>
      </c>
      <c r="I140" s="20">
        <v>45302</v>
      </c>
      <c r="J140" s="20" t="str">
        <f>TEXT(Claims_data[[#This Row],[Service Date]],"mmm")</f>
        <v>Jan</v>
      </c>
      <c r="K140" s="1" t="s">
        <v>73</v>
      </c>
      <c r="L140" s="1" t="s">
        <v>74</v>
      </c>
      <c r="M140" s="3">
        <v>10409.709999999999</v>
      </c>
      <c r="N140" s="3">
        <v>6761.91</v>
      </c>
      <c r="O140" s="3">
        <v>36.18</v>
      </c>
      <c r="P140" s="3">
        <v>6725.73</v>
      </c>
      <c r="Q140" s="1" t="s">
        <v>43</v>
      </c>
      <c r="R140" s="9" t="s">
        <v>27</v>
      </c>
      <c r="S140" s="30">
        <f>(Claims_data[[#This Row],[Billed Amount ($)]]-Claims_data[[#This Row],[Paid Amount ($)]])/Claims_data[[#This Row],[Billed Amount ($)]]</f>
        <v>0.35389842752583883</v>
      </c>
    </row>
    <row r="141" spans="1:19" x14ac:dyDescent="0.2">
      <c r="A141" s="8" t="s">
        <v>245</v>
      </c>
      <c r="B141" s="4" t="s">
        <v>18</v>
      </c>
      <c r="C141" s="5">
        <v>52</v>
      </c>
      <c r="D141" s="4" t="s">
        <v>37</v>
      </c>
      <c r="E141" s="4" t="s">
        <v>30</v>
      </c>
      <c r="F141" s="4" t="s">
        <v>39</v>
      </c>
      <c r="G141" s="4" t="s">
        <v>40</v>
      </c>
      <c r="H141" s="4" t="s">
        <v>33</v>
      </c>
      <c r="I141" s="21">
        <v>45453</v>
      </c>
      <c r="J141" s="21" t="str">
        <f>TEXT(Claims_data[[#This Row],[Service Date]],"mmm")</f>
        <v>Jun</v>
      </c>
      <c r="K141" s="4" t="s">
        <v>85</v>
      </c>
      <c r="L141" s="4" t="s">
        <v>86</v>
      </c>
      <c r="M141" s="6">
        <v>11103.08</v>
      </c>
      <c r="N141" s="6">
        <v>7836.36</v>
      </c>
      <c r="O141" s="6">
        <v>124.15</v>
      </c>
      <c r="P141" s="6">
        <v>0</v>
      </c>
      <c r="Q141" s="4" t="s">
        <v>51</v>
      </c>
      <c r="R141" s="10" t="s">
        <v>44</v>
      </c>
      <c r="S141" s="30">
        <f>(Claims_data[[#This Row],[Billed Amount ($)]]-Claims_data[[#This Row],[Paid Amount ($)]])/Claims_data[[#This Row],[Billed Amount ($)]]</f>
        <v>1</v>
      </c>
    </row>
    <row r="142" spans="1:19" x14ac:dyDescent="0.2">
      <c r="A142" s="7" t="s">
        <v>246</v>
      </c>
      <c r="B142" s="1" t="s">
        <v>90</v>
      </c>
      <c r="C142" s="2">
        <v>69</v>
      </c>
      <c r="D142" s="1" t="s">
        <v>19</v>
      </c>
      <c r="E142" s="1" t="s">
        <v>38</v>
      </c>
      <c r="F142" s="1" t="s">
        <v>21</v>
      </c>
      <c r="G142" s="1" t="s">
        <v>22</v>
      </c>
      <c r="H142" s="1" t="s">
        <v>23</v>
      </c>
      <c r="I142" s="20">
        <v>45458</v>
      </c>
      <c r="J142" s="20" t="str">
        <f>TEXT(Claims_data[[#This Row],[Service Date]],"mmm")</f>
        <v>Jun</v>
      </c>
      <c r="K142" s="1" t="s">
        <v>24</v>
      </c>
      <c r="L142" s="1" t="s">
        <v>25</v>
      </c>
      <c r="M142" s="3">
        <v>7981.89</v>
      </c>
      <c r="N142" s="3">
        <v>5123.96</v>
      </c>
      <c r="O142" s="3">
        <v>98.34</v>
      </c>
      <c r="P142" s="3">
        <v>0</v>
      </c>
      <c r="Q142" s="1" t="s">
        <v>51</v>
      </c>
      <c r="R142" s="9" t="s">
        <v>27</v>
      </c>
      <c r="S142" s="30">
        <f>(Claims_data[[#This Row],[Billed Amount ($)]]-Claims_data[[#This Row],[Paid Amount ($)]])/Claims_data[[#This Row],[Billed Amount ($)]]</f>
        <v>1</v>
      </c>
    </row>
    <row r="143" spans="1:19" x14ac:dyDescent="0.2">
      <c r="A143" s="8" t="s">
        <v>247</v>
      </c>
      <c r="B143" s="4" t="s">
        <v>109</v>
      </c>
      <c r="C143" s="5">
        <v>65</v>
      </c>
      <c r="D143" s="4" t="s">
        <v>19</v>
      </c>
      <c r="E143" s="4" t="s">
        <v>38</v>
      </c>
      <c r="F143" s="4" t="s">
        <v>82</v>
      </c>
      <c r="G143" s="4" t="s">
        <v>83</v>
      </c>
      <c r="H143" s="4" t="s">
        <v>33</v>
      </c>
      <c r="I143" s="21">
        <v>45490</v>
      </c>
      <c r="J143" s="21" t="str">
        <f>TEXT(Claims_data[[#This Row],[Service Date]],"mmm")</f>
        <v>Jul</v>
      </c>
      <c r="K143" s="4" t="s">
        <v>60</v>
      </c>
      <c r="L143" s="4" t="s">
        <v>61</v>
      </c>
      <c r="M143" s="6">
        <v>3403.48</v>
      </c>
      <c r="N143" s="6">
        <v>2872.56</v>
      </c>
      <c r="O143" s="6">
        <v>143.22999999999999</v>
      </c>
      <c r="P143" s="6">
        <v>2729.33</v>
      </c>
      <c r="Q143" s="4" t="s">
        <v>43</v>
      </c>
      <c r="R143" s="10" t="s">
        <v>27</v>
      </c>
      <c r="S143" s="30">
        <f>(Claims_data[[#This Row],[Billed Amount ($)]]-Claims_data[[#This Row],[Paid Amount ($)]])/Claims_data[[#This Row],[Billed Amount ($)]]</f>
        <v>0.19807667446260888</v>
      </c>
    </row>
    <row r="144" spans="1:19" x14ac:dyDescent="0.2">
      <c r="A144" s="7" t="s">
        <v>248</v>
      </c>
      <c r="B144" s="1" t="s">
        <v>122</v>
      </c>
      <c r="C144" s="2">
        <v>66</v>
      </c>
      <c r="D144" s="1" t="s">
        <v>19</v>
      </c>
      <c r="E144" s="1" t="s">
        <v>38</v>
      </c>
      <c r="F144" s="1" t="s">
        <v>31</v>
      </c>
      <c r="G144" s="1" t="s">
        <v>32</v>
      </c>
      <c r="H144" s="1" t="s">
        <v>33</v>
      </c>
      <c r="I144" s="20">
        <v>45578</v>
      </c>
      <c r="J144" s="20" t="str">
        <f>TEXT(Claims_data[[#This Row],[Service Date]],"mmm")</f>
        <v>Oct</v>
      </c>
      <c r="K144" s="1" t="s">
        <v>125</v>
      </c>
      <c r="L144" s="1" t="s">
        <v>126</v>
      </c>
      <c r="M144" s="3">
        <v>8185.35</v>
      </c>
      <c r="N144" s="3">
        <v>5577.92</v>
      </c>
      <c r="O144" s="3">
        <v>36.409999999999997</v>
      </c>
      <c r="P144" s="3">
        <v>5541.51</v>
      </c>
      <c r="Q144" s="1" t="s">
        <v>43</v>
      </c>
      <c r="R144" s="9" t="s">
        <v>27</v>
      </c>
      <c r="S144" s="30">
        <f>(Claims_data[[#This Row],[Billed Amount ($)]]-Claims_data[[#This Row],[Paid Amount ($)]])/Claims_data[[#This Row],[Billed Amount ($)]]</f>
        <v>0.32299657314592534</v>
      </c>
    </row>
    <row r="145" spans="1:19" x14ac:dyDescent="0.2">
      <c r="A145" s="8" t="s">
        <v>249</v>
      </c>
      <c r="B145" s="4" t="s">
        <v>138</v>
      </c>
      <c r="C145" s="5">
        <v>33</v>
      </c>
      <c r="D145" s="4" t="s">
        <v>19</v>
      </c>
      <c r="E145" s="4" t="s">
        <v>38</v>
      </c>
      <c r="F145" s="4" t="s">
        <v>31</v>
      </c>
      <c r="G145" s="4" t="s">
        <v>32</v>
      </c>
      <c r="H145" s="4" t="s">
        <v>33</v>
      </c>
      <c r="I145" s="21">
        <v>45607</v>
      </c>
      <c r="J145" s="21" t="str">
        <f>TEXT(Claims_data[[#This Row],[Service Date]],"mmm")</f>
        <v>Nov</v>
      </c>
      <c r="K145" s="4" t="s">
        <v>49</v>
      </c>
      <c r="L145" s="4" t="s">
        <v>50</v>
      </c>
      <c r="M145" s="6">
        <v>5481.58</v>
      </c>
      <c r="N145" s="6">
        <v>3624.91</v>
      </c>
      <c r="O145" s="6">
        <v>77.709999999999994</v>
      </c>
      <c r="P145" s="6">
        <v>3547.2</v>
      </c>
      <c r="Q145" s="4" t="s">
        <v>43</v>
      </c>
      <c r="R145" s="10" t="s">
        <v>44</v>
      </c>
      <c r="S145" s="30">
        <f>(Claims_data[[#This Row],[Billed Amount ($)]]-Claims_data[[#This Row],[Paid Amount ($)]])/Claims_data[[#This Row],[Billed Amount ($)]]</f>
        <v>0.35288730621463155</v>
      </c>
    </row>
    <row r="146" spans="1:19" x14ac:dyDescent="0.2">
      <c r="A146" s="7" t="s">
        <v>250</v>
      </c>
      <c r="B146" s="1" t="s">
        <v>167</v>
      </c>
      <c r="C146" s="2">
        <v>41</v>
      </c>
      <c r="D146" s="1" t="s">
        <v>19</v>
      </c>
      <c r="E146" s="1" t="s">
        <v>30</v>
      </c>
      <c r="F146" s="1" t="s">
        <v>21</v>
      </c>
      <c r="G146" s="1" t="s">
        <v>22</v>
      </c>
      <c r="H146" s="1" t="s">
        <v>23</v>
      </c>
      <c r="I146" s="20">
        <v>45306</v>
      </c>
      <c r="J146" s="20" t="str">
        <f>TEXT(Claims_data[[#This Row],[Service Date]],"mmm")</f>
        <v>Jan</v>
      </c>
      <c r="K146" s="1" t="s">
        <v>34</v>
      </c>
      <c r="L146" s="1" t="s">
        <v>35</v>
      </c>
      <c r="M146" s="3">
        <v>8867.75</v>
      </c>
      <c r="N146" s="3">
        <v>6204.88</v>
      </c>
      <c r="O146" s="3">
        <v>70.31</v>
      </c>
      <c r="P146" s="3">
        <v>6134.57</v>
      </c>
      <c r="Q146" s="1" t="s">
        <v>26</v>
      </c>
      <c r="R146" s="9" t="s">
        <v>27</v>
      </c>
      <c r="S146" s="30">
        <f>(Claims_data[[#This Row],[Billed Amount ($)]]-Claims_data[[#This Row],[Paid Amount ($)]])/Claims_data[[#This Row],[Billed Amount ($)]]</f>
        <v>0.30821572552225768</v>
      </c>
    </row>
    <row r="147" spans="1:19" x14ac:dyDescent="0.2">
      <c r="A147" s="8" t="s">
        <v>251</v>
      </c>
      <c r="B147" s="4" t="s">
        <v>148</v>
      </c>
      <c r="C147" s="5">
        <v>36</v>
      </c>
      <c r="D147" s="4" t="s">
        <v>19</v>
      </c>
      <c r="E147" s="4" t="s">
        <v>20</v>
      </c>
      <c r="F147" s="4" t="s">
        <v>46</v>
      </c>
      <c r="G147" s="4" t="s">
        <v>47</v>
      </c>
      <c r="H147" s="4" t="s">
        <v>48</v>
      </c>
      <c r="I147" s="21">
        <v>45652</v>
      </c>
      <c r="J147" s="21" t="str">
        <f>TEXT(Claims_data[[#This Row],[Service Date]],"mmm")</f>
        <v>Dec</v>
      </c>
      <c r="K147" s="4" t="s">
        <v>49</v>
      </c>
      <c r="L147" s="4" t="s">
        <v>50</v>
      </c>
      <c r="M147" s="6">
        <v>11010.28</v>
      </c>
      <c r="N147" s="6">
        <v>7678.13</v>
      </c>
      <c r="O147" s="6">
        <v>35.94</v>
      </c>
      <c r="P147" s="6">
        <v>7642.19</v>
      </c>
      <c r="Q147" s="4" t="s">
        <v>43</v>
      </c>
      <c r="R147" s="10" t="s">
        <v>44</v>
      </c>
      <c r="S147" s="30">
        <f>(Claims_data[[#This Row],[Billed Amount ($)]]-Claims_data[[#This Row],[Paid Amount ($)]])/Claims_data[[#This Row],[Billed Amount ($)]]</f>
        <v>0.30590411869634565</v>
      </c>
    </row>
    <row r="148" spans="1:19" x14ac:dyDescent="0.2">
      <c r="A148" s="7" t="s">
        <v>252</v>
      </c>
      <c r="B148" s="1" t="s">
        <v>116</v>
      </c>
      <c r="C148" s="2">
        <v>57</v>
      </c>
      <c r="D148" s="1" t="s">
        <v>37</v>
      </c>
      <c r="E148" s="1" t="s">
        <v>20</v>
      </c>
      <c r="F148" s="1" t="s">
        <v>21</v>
      </c>
      <c r="G148" s="1" t="s">
        <v>22</v>
      </c>
      <c r="H148" s="1" t="s">
        <v>23</v>
      </c>
      <c r="I148" s="20">
        <v>45542</v>
      </c>
      <c r="J148" s="20" t="str">
        <f>TEXT(Claims_data[[#This Row],[Service Date]],"mmm")</f>
        <v>Sep</v>
      </c>
      <c r="K148" s="1" t="s">
        <v>60</v>
      </c>
      <c r="L148" s="1" t="s">
        <v>61</v>
      </c>
      <c r="M148" s="3">
        <v>6574.73</v>
      </c>
      <c r="N148" s="3">
        <v>5374.18</v>
      </c>
      <c r="O148" s="3">
        <v>130.68</v>
      </c>
      <c r="P148" s="3">
        <v>5243.5</v>
      </c>
      <c r="Q148" s="1" t="s">
        <v>43</v>
      </c>
      <c r="R148" s="9" t="s">
        <v>27</v>
      </c>
      <c r="S148" s="30">
        <f>(Claims_data[[#This Row],[Billed Amount ($)]]-Claims_data[[#This Row],[Paid Amount ($)]])/Claims_data[[#This Row],[Billed Amount ($)]]</f>
        <v>0.20247675569947354</v>
      </c>
    </row>
    <row r="149" spans="1:19" x14ac:dyDescent="0.2">
      <c r="A149" s="8" t="s">
        <v>253</v>
      </c>
      <c r="B149" s="4" t="s">
        <v>101</v>
      </c>
      <c r="C149" s="5">
        <v>64</v>
      </c>
      <c r="D149" s="4" t="s">
        <v>37</v>
      </c>
      <c r="E149" s="4" t="s">
        <v>20</v>
      </c>
      <c r="F149" s="4" t="s">
        <v>39</v>
      </c>
      <c r="G149" s="4" t="s">
        <v>40</v>
      </c>
      <c r="H149" s="4" t="s">
        <v>33</v>
      </c>
      <c r="I149" s="21">
        <v>45301</v>
      </c>
      <c r="J149" s="21" t="str">
        <f>TEXT(Claims_data[[#This Row],[Service Date]],"mmm")</f>
        <v>Jan</v>
      </c>
      <c r="K149" s="4" t="s">
        <v>34</v>
      </c>
      <c r="L149" s="4" t="s">
        <v>35</v>
      </c>
      <c r="M149" s="6">
        <v>4426.62</v>
      </c>
      <c r="N149" s="6">
        <v>3194.62</v>
      </c>
      <c r="O149" s="6">
        <v>80.760000000000005</v>
      </c>
      <c r="P149" s="6">
        <v>3113.86</v>
      </c>
      <c r="Q149" s="4" t="s">
        <v>26</v>
      </c>
      <c r="R149" s="10" t="s">
        <v>44</v>
      </c>
      <c r="S149" s="30">
        <f>(Claims_data[[#This Row],[Billed Amount ($)]]-Claims_data[[#This Row],[Paid Amount ($)]])/Claims_data[[#This Row],[Billed Amount ($)]]</f>
        <v>0.29656035530495045</v>
      </c>
    </row>
    <row r="150" spans="1:19" x14ac:dyDescent="0.2">
      <c r="A150" s="7" t="s">
        <v>254</v>
      </c>
      <c r="B150" s="1" t="s">
        <v>191</v>
      </c>
      <c r="C150" s="2">
        <v>29</v>
      </c>
      <c r="D150" s="1" t="s">
        <v>19</v>
      </c>
      <c r="E150" s="1" t="s">
        <v>38</v>
      </c>
      <c r="F150" s="1" t="s">
        <v>82</v>
      </c>
      <c r="G150" s="1" t="s">
        <v>83</v>
      </c>
      <c r="H150" s="1" t="s">
        <v>33</v>
      </c>
      <c r="I150" s="20">
        <v>45495</v>
      </c>
      <c r="J150" s="20" t="str">
        <f>TEXT(Claims_data[[#This Row],[Service Date]],"mmm")</f>
        <v>Jul</v>
      </c>
      <c r="K150" s="1" t="s">
        <v>85</v>
      </c>
      <c r="L150" s="1" t="s">
        <v>86</v>
      </c>
      <c r="M150" s="3">
        <v>9264.6</v>
      </c>
      <c r="N150" s="3">
        <v>7383.9</v>
      </c>
      <c r="O150" s="3">
        <v>29.59</v>
      </c>
      <c r="P150" s="3">
        <v>7354.31</v>
      </c>
      <c r="Q150" s="1" t="s">
        <v>43</v>
      </c>
      <c r="R150" s="9" t="s">
        <v>44</v>
      </c>
      <c r="S150" s="30">
        <f>(Claims_data[[#This Row],[Billed Amount ($)]]-Claims_data[[#This Row],[Paid Amount ($)]])/Claims_data[[#This Row],[Billed Amount ($)]]</f>
        <v>0.20619238823046865</v>
      </c>
    </row>
    <row r="151" spans="1:19" x14ac:dyDescent="0.2">
      <c r="A151" s="8" t="s">
        <v>255</v>
      </c>
      <c r="B151" s="4" t="s">
        <v>94</v>
      </c>
      <c r="C151" s="5">
        <v>32</v>
      </c>
      <c r="D151" s="4" t="s">
        <v>37</v>
      </c>
      <c r="E151" s="4" t="s">
        <v>38</v>
      </c>
      <c r="F151" s="4" t="s">
        <v>82</v>
      </c>
      <c r="G151" s="4" t="s">
        <v>83</v>
      </c>
      <c r="H151" s="4" t="s">
        <v>33</v>
      </c>
      <c r="I151" s="21">
        <v>45602</v>
      </c>
      <c r="J151" s="21" t="str">
        <f>TEXT(Claims_data[[#This Row],[Service Date]],"mmm")</f>
        <v>Nov</v>
      </c>
      <c r="K151" s="4" t="s">
        <v>41</v>
      </c>
      <c r="L151" s="4" t="s">
        <v>42</v>
      </c>
      <c r="M151" s="6">
        <v>7115.26</v>
      </c>
      <c r="N151" s="6">
        <v>5552.28</v>
      </c>
      <c r="O151" s="6">
        <v>36.770000000000003</v>
      </c>
      <c r="P151" s="6">
        <v>5515.51</v>
      </c>
      <c r="Q151" s="4" t="s">
        <v>26</v>
      </c>
      <c r="R151" s="10" t="s">
        <v>27</v>
      </c>
      <c r="S151" s="30">
        <f>(Claims_data[[#This Row],[Billed Amount ($)]]-Claims_data[[#This Row],[Paid Amount ($)]])/Claims_data[[#This Row],[Billed Amount ($)]]</f>
        <v>0.22483366735720128</v>
      </c>
    </row>
    <row r="152" spans="1:19" x14ac:dyDescent="0.2">
      <c r="A152" s="7" t="s">
        <v>256</v>
      </c>
      <c r="B152" s="1" t="s">
        <v>198</v>
      </c>
      <c r="C152" s="2">
        <v>37</v>
      </c>
      <c r="D152" s="1" t="s">
        <v>19</v>
      </c>
      <c r="E152" s="1" t="s">
        <v>20</v>
      </c>
      <c r="F152" s="1" t="s">
        <v>31</v>
      </c>
      <c r="G152" s="1" t="s">
        <v>32</v>
      </c>
      <c r="H152" s="1" t="s">
        <v>33</v>
      </c>
      <c r="I152" s="20">
        <v>45464</v>
      </c>
      <c r="J152" s="20" t="str">
        <f>TEXT(Claims_data[[#This Row],[Service Date]],"mmm")</f>
        <v>Jun</v>
      </c>
      <c r="K152" s="1" t="s">
        <v>60</v>
      </c>
      <c r="L152" s="1" t="s">
        <v>61</v>
      </c>
      <c r="M152" s="3">
        <v>11377.68</v>
      </c>
      <c r="N152" s="3">
        <v>8028.88</v>
      </c>
      <c r="O152" s="3">
        <v>56.93</v>
      </c>
      <c r="P152" s="3">
        <v>7971.95</v>
      </c>
      <c r="Q152" s="1" t="s">
        <v>43</v>
      </c>
      <c r="R152" s="9" t="s">
        <v>44</v>
      </c>
      <c r="S152" s="30">
        <f>(Claims_data[[#This Row],[Billed Amount ($)]]-Claims_data[[#This Row],[Paid Amount ($)]])/Claims_data[[#This Row],[Billed Amount ($)]]</f>
        <v>0.2993343106854825</v>
      </c>
    </row>
    <row r="153" spans="1:19" x14ac:dyDescent="0.2">
      <c r="A153" s="8" t="s">
        <v>257</v>
      </c>
      <c r="B153" s="4" t="s">
        <v>90</v>
      </c>
      <c r="C153" s="5">
        <v>67</v>
      </c>
      <c r="D153" s="4" t="s">
        <v>19</v>
      </c>
      <c r="E153" s="4" t="s">
        <v>30</v>
      </c>
      <c r="F153" s="4" t="s">
        <v>82</v>
      </c>
      <c r="G153" s="4" t="s">
        <v>83</v>
      </c>
      <c r="H153" s="4" t="s">
        <v>33</v>
      </c>
      <c r="I153" s="21">
        <v>45324</v>
      </c>
      <c r="J153" s="21" t="str">
        <f>TEXT(Claims_data[[#This Row],[Service Date]],"mmm")</f>
        <v>Feb</v>
      </c>
      <c r="K153" s="4" t="s">
        <v>49</v>
      </c>
      <c r="L153" s="4" t="s">
        <v>50</v>
      </c>
      <c r="M153" s="6">
        <v>6105.49</v>
      </c>
      <c r="N153" s="6">
        <v>3666.9</v>
      </c>
      <c r="O153" s="6">
        <v>142.41</v>
      </c>
      <c r="P153" s="6">
        <v>3524.49</v>
      </c>
      <c r="Q153" s="4" t="s">
        <v>43</v>
      </c>
      <c r="R153" s="10" t="s">
        <v>27</v>
      </c>
      <c r="S153" s="30">
        <f>(Claims_data[[#This Row],[Billed Amount ($)]]-Claims_data[[#This Row],[Paid Amount ($)]])/Claims_data[[#This Row],[Billed Amount ($)]]</f>
        <v>0.42273429323444967</v>
      </c>
    </row>
    <row r="154" spans="1:19" x14ac:dyDescent="0.2">
      <c r="A154" s="7" t="s">
        <v>258</v>
      </c>
      <c r="B154" s="1" t="s">
        <v>29</v>
      </c>
      <c r="C154" s="2">
        <v>64</v>
      </c>
      <c r="D154" s="1" t="s">
        <v>37</v>
      </c>
      <c r="E154" s="1" t="s">
        <v>38</v>
      </c>
      <c r="F154" s="1" t="s">
        <v>21</v>
      </c>
      <c r="G154" s="1" t="s">
        <v>22</v>
      </c>
      <c r="H154" s="1" t="s">
        <v>23</v>
      </c>
      <c r="I154" s="20">
        <v>45617</v>
      </c>
      <c r="J154" s="20" t="str">
        <f>TEXT(Claims_data[[#This Row],[Service Date]],"mmm")</f>
        <v>Nov</v>
      </c>
      <c r="K154" s="1" t="s">
        <v>24</v>
      </c>
      <c r="L154" s="1" t="s">
        <v>25</v>
      </c>
      <c r="M154" s="3">
        <v>9286.6200000000008</v>
      </c>
      <c r="N154" s="3">
        <v>5844.97</v>
      </c>
      <c r="O154" s="3">
        <v>47.41</v>
      </c>
      <c r="P154" s="3">
        <v>5797.56</v>
      </c>
      <c r="Q154" s="1" t="s">
        <v>26</v>
      </c>
      <c r="R154" s="9" t="s">
        <v>44</v>
      </c>
      <c r="S154" s="30">
        <f>(Claims_data[[#This Row],[Billed Amount ($)]]-Claims_data[[#This Row],[Paid Amount ($)]])/Claims_data[[#This Row],[Billed Amount ($)]]</f>
        <v>0.37570827706959048</v>
      </c>
    </row>
    <row r="155" spans="1:19" x14ac:dyDescent="0.2">
      <c r="A155" s="8" t="s">
        <v>259</v>
      </c>
      <c r="B155" s="4" t="s">
        <v>146</v>
      </c>
      <c r="C155" s="5">
        <v>28</v>
      </c>
      <c r="D155" s="4" t="s">
        <v>37</v>
      </c>
      <c r="E155" s="4" t="s">
        <v>38</v>
      </c>
      <c r="F155" s="4" t="s">
        <v>39</v>
      </c>
      <c r="G155" s="4" t="s">
        <v>40</v>
      </c>
      <c r="H155" s="4" t="s">
        <v>33</v>
      </c>
      <c r="I155" s="21">
        <v>45396</v>
      </c>
      <c r="J155" s="21" t="str">
        <f>TEXT(Claims_data[[#This Row],[Service Date]],"mmm")</f>
        <v>Apr</v>
      </c>
      <c r="K155" s="4" t="s">
        <v>73</v>
      </c>
      <c r="L155" s="4" t="s">
        <v>74</v>
      </c>
      <c r="M155" s="6">
        <v>9685.5499999999993</v>
      </c>
      <c r="N155" s="6">
        <v>7317.41</v>
      </c>
      <c r="O155" s="6">
        <v>58.67</v>
      </c>
      <c r="P155" s="6">
        <v>7258.74</v>
      </c>
      <c r="Q155" s="4" t="s">
        <v>43</v>
      </c>
      <c r="R155" s="10" t="s">
        <v>44</v>
      </c>
      <c r="S155" s="30">
        <f>(Claims_data[[#This Row],[Billed Amount ($)]]-Claims_data[[#This Row],[Paid Amount ($)]])/Claims_data[[#This Row],[Billed Amount ($)]]</f>
        <v>0.25055985462880265</v>
      </c>
    </row>
    <row r="156" spans="1:19" x14ac:dyDescent="0.2">
      <c r="A156" s="7" t="s">
        <v>260</v>
      </c>
      <c r="B156" s="1" t="s">
        <v>154</v>
      </c>
      <c r="C156" s="2">
        <v>33</v>
      </c>
      <c r="D156" s="1" t="s">
        <v>19</v>
      </c>
      <c r="E156" s="1" t="s">
        <v>30</v>
      </c>
      <c r="F156" s="1" t="s">
        <v>31</v>
      </c>
      <c r="G156" s="1" t="s">
        <v>32</v>
      </c>
      <c r="H156" s="1" t="s">
        <v>33</v>
      </c>
      <c r="I156" s="20">
        <v>45461</v>
      </c>
      <c r="J156" s="20" t="str">
        <f>TEXT(Claims_data[[#This Row],[Service Date]],"mmm")</f>
        <v>Jun</v>
      </c>
      <c r="K156" s="1" t="s">
        <v>85</v>
      </c>
      <c r="L156" s="1" t="s">
        <v>86</v>
      </c>
      <c r="M156" s="3">
        <v>7338.92</v>
      </c>
      <c r="N156" s="3">
        <v>4724.6099999999997</v>
      </c>
      <c r="O156" s="3">
        <v>113.39</v>
      </c>
      <c r="P156" s="3">
        <v>4611.22</v>
      </c>
      <c r="Q156" s="1" t="s">
        <v>43</v>
      </c>
      <c r="R156" s="9" t="s">
        <v>27</v>
      </c>
      <c r="S156" s="30">
        <f>(Claims_data[[#This Row],[Billed Amount ($)]]-Claims_data[[#This Row],[Paid Amount ($)]])/Claims_data[[#This Row],[Billed Amount ($)]]</f>
        <v>0.37167594141917337</v>
      </c>
    </row>
    <row r="157" spans="1:19" x14ac:dyDescent="0.2">
      <c r="A157" s="8" t="s">
        <v>261</v>
      </c>
      <c r="B157" s="4" t="s">
        <v>120</v>
      </c>
      <c r="C157" s="5">
        <v>49</v>
      </c>
      <c r="D157" s="4" t="s">
        <v>19</v>
      </c>
      <c r="E157" s="4" t="s">
        <v>20</v>
      </c>
      <c r="F157" s="4" t="s">
        <v>31</v>
      </c>
      <c r="G157" s="4" t="s">
        <v>32</v>
      </c>
      <c r="H157" s="4" t="s">
        <v>33</v>
      </c>
      <c r="I157" s="21">
        <v>45532</v>
      </c>
      <c r="J157" s="21" t="str">
        <f>TEXT(Claims_data[[#This Row],[Service Date]],"mmm")</f>
        <v>Aug</v>
      </c>
      <c r="K157" s="4" t="s">
        <v>60</v>
      </c>
      <c r="L157" s="4" t="s">
        <v>61</v>
      </c>
      <c r="M157" s="6">
        <v>1601.88</v>
      </c>
      <c r="N157" s="6">
        <v>1097.0899999999999</v>
      </c>
      <c r="O157" s="6">
        <v>38.31</v>
      </c>
      <c r="P157" s="6">
        <v>1058.78</v>
      </c>
      <c r="Q157" s="4" t="s">
        <v>43</v>
      </c>
      <c r="R157" s="10" t="s">
        <v>27</v>
      </c>
      <c r="S157" s="30">
        <f>(Claims_data[[#This Row],[Billed Amount ($)]]-Claims_data[[#This Row],[Paid Amount ($)]])/Claims_data[[#This Row],[Billed Amount ($)]]</f>
        <v>0.33903912902339756</v>
      </c>
    </row>
    <row r="158" spans="1:19" x14ac:dyDescent="0.2">
      <c r="A158" s="7" t="s">
        <v>262</v>
      </c>
      <c r="B158" s="1" t="s">
        <v>98</v>
      </c>
      <c r="C158" s="2">
        <v>56</v>
      </c>
      <c r="D158" s="1" t="s">
        <v>19</v>
      </c>
      <c r="E158" s="1" t="s">
        <v>38</v>
      </c>
      <c r="F158" s="1" t="s">
        <v>82</v>
      </c>
      <c r="G158" s="1" t="s">
        <v>83</v>
      </c>
      <c r="H158" s="1" t="s">
        <v>33</v>
      </c>
      <c r="I158" s="20">
        <v>45627</v>
      </c>
      <c r="J158" s="20" t="str">
        <f>TEXT(Claims_data[[#This Row],[Service Date]],"mmm")</f>
        <v>Dec</v>
      </c>
      <c r="K158" s="1" t="s">
        <v>60</v>
      </c>
      <c r="L158" s="1" t="s">
        <v>61</v>
      </c>
      <c r="M158" s="3">
        <v>3855.67</v>
      </c>
      <c r="N158" s="3">
        <v>3003.32</v>
      </c>
      <c r="O158" s="3">
        <v>84.77</v>
      </c>
      <c r="P158" s="3">
        <v>2918.55</v>
      </c>
      <c r="Q158" s="1" t="s">
        <v>26</v>
      </c>
      <c r="R158" s="9" t="s">
        <v>27</v>
      </c>
      <c r="S158" s="30">
        <f>(Claims_data[[#This Row],[Billed Amount ($)]]-Claims_data[[#This Row],[Paid Amount ($)]])/Claims_data[[#This Row],[Billed Amount ($)]]</f>
        <v>0.24304984607085148</v>
      </c>
    </row>
    <row r="159" spans="1:19" x14ac:dyDescent="0.2">
      <c r="A159" s="8" t="s">
        <v>263</v>
      </c>
      <c r="B159" s="4" t="s">
        <v>120</v>
      </c>
      <c r="C159" s="5">
        <v>56</v>
      </c>
      <c r="D159" s="4" t="s">
        <v>19</v>
      </c>
      <c r="E159" s="4" t="s">
        <v>38</v>
      </c>
      <c r="F159" s="4" t="s">
        <v>82</v>
      </c>
      <c r="G159" s="4" t="s">
        <v>83</v>
      </c>
      <c r="H159" s="4" t="s">
        <v>33</v>
      </c>
      <c r="I159" s="21">
        <v>45522</v>
      </c>
      <c r="J159" s="21" t="str">
        <f>TEXT(Claims_data[[#This Row],[Service Date]],"mmm")</f>
        <v>Aug</v>
      </c>
      <c r="K159" s="4" t="s">
        <v>111</v>
      </c>
      <c r="L159" s="4" t="s">
        <v>112</v>
      </c>
      <c r="M159" s="6">
        <v>11605.24</v>
      </c>
      <c r="N159" s="6">
        <v>7131.92</v>
      </c>
      <c r="O159" s="6">
        <v>65.88</v>
      </c>
      <c r="P159" s="6">
        <v>7066.04</v>
      </c>
      <c r="Q159" s="4" t="s">
        <v>43</v>
      </c>
      <c r="R159" s="10" t="s">
        <v>27</v>
      </c>
      <c r="S159" s="30">
        <f>(Claims_data[[#This Row],[Billed Amount ($)]]-Claims_data[[#This Row],[Paid Amount ($)]])/Claims_data[[#This Row],[Billed Amount ($)]]</f>
        <v>0.39113366031206592</v>
      </c>
    </row>
    <row r="160" spans="1:19" x14ac:dyDescent="0.2">
      <c r="A160" s="7" t="s">
        <v>264</v>
      </c>
      <c r="B160" s="1" t="s">
        <v>164</v>
      </c>
      <c r="C160" s="2">
        <v>50</v>
      </c>
      <c r="D160" s="1" t="s">
        <v>37</v>
      </c>
      <c r="E160" s="1" t="s">
        <v>30</v>
      </c>
      <c r="F160" s="1" t="s">
        <v>39</v>
      </c>
      <c r="G160" s="1" t="s">
        <v>40</v>
      </c>
      <c r="H160" s="1" t="s">
        <v>33</v>
      </c>
      <c r="I160" s="20">
        <v>45369</v>
      </c>
      <c r="J160" s="20" t="str">
        <f>TEXT(Claims_data[[#This Row],[Service Date]],"mmm")</f>
        <v>Mar</v>
      </c>
      <c r="K160" s="1" t="s">
        <v>24</v>
      </c>
      <c r="L160" s="1" t="s">
        <v>25</v>
      </c>
      <c r="M160" s="3">
        <v>10607.1</v>
      </c>
      <c r="N160" s="3">
        <v>8148.93</v>
      </c>
      <c r="O160" s="3">
        <v>119.3</v>
      </c>
      <c r="P160" s="3">
        <v>8029.63</v>
      </c>
      <c r="Q160" s="1" t="s">
        <v>43</v>
      </c>
      <c r="R160" s="9" t="s">
        <v>27</v>
      </c>
      <c r="S160" s="30">
        <f>(Claims_data[[#This Row],[Billed Amount ($)]]-Claims_data[[#This Row],[Paid Amount ($)]])/Claims_data[[#This Row],[Billed Amount ($)]]</f>
        <v>0.24299478651092193</v>
      </c>
    </row>
    <row r="161" spans="1:19" x14ac:dyDescent="0.2">
      <c r="A161" s="8" t="s">
        <v>265</v>
      </c>
      <c r="B161" s="4" t="s">
        <v>96</v>
      </c>
      <c r="C161" s="5">
        <v>68</v>
      </c>
      <c r="D161" s="4" t="s">
        <v>37</v>
      </c>
      <c r="E161" s="4" t="s">
        <v>20</v>
      </c>
      <c r="F161" s="4" t="s">
        <v>82</v>
      </c>
      <c r="G161" s="4" t="s">
        <v>83</v>
      </c>
      <c r="H161" s="4" t="s">
        <v>33</v>
      </c>
      <c r="I161" s="21">
        <v>45416</v>
      </c>
      <c r="J161" s="21" t="str">
        <f>TEXT(Claims_data[[#This Row],[Service Date]],"mmm")</f>
        <v>May</v>
      </c>
      <c r="K161" s="4" t="s">
        <v>60</v>
      </c>
      <c r="L161" s="4" t="s">
        <v>61</v>
      </c>
      <c r="M161" s="6">
        <v>1021.35</v>
      </c>
      <c r="N161" s="6">
        <v>716.25</v>
      </c>
      <c r="O161" s="6">
        <v>119.37</v>
      </c>
      <c r="P161" s="6">
        <v>596.88</v>
      </c>
      <c r="Q161" s="4" t="s">
        <v>43</v>
      </c>
      <c r="R161" s="10" t="s">
        <v>44</v>
      </c>
      <c r="S161" s="30">
        <f>(Claims_data[[#This Row],[Billed Amount ($)]]-Claims_data[[#This Row],[Paid Amount ($)]])/Claims_data[[#This Row],[Billed Amount ($)]]</f>
        <v>0.41559700396534</v>
      </c>
    </row>
    <row r="162" spans="1:19" x14ac:dyDescent="0.2">
      <c r="A162" s="7" t="s">
        <v>266</v>
      </c>
      <c r="B162" s="1" t="s">
        <v>154</v>
      </c>
      <c r="C162" s="2">
        <v>57</v>
      </c>
      <c r="D162" s="1" t="s">
        <v>37</v>
      </c>
      <c r="E162" s="1" t="s">
        <v>20</v>
      </c>
      <c r="F162" s="1" t="s">
        <v>46</v>
      </c>
      <c r="G162" s="1" t="s">
        <v>47</v>
      </c>
      <c r="H162" s="1" t="s">
        <v>48</v>
      </c>
      <c r="I162" s="20">
        <v>45537</v>
      </c>
      <c r="J162" s="20" t="str">
        <f>TEXT(Claims_data[[#This Row],[Service Date]],"mmm")</f>
        <v>Sep</v>
      </c>
      <c r="K162" s="1" t="s">
        <v>60</v>
      </c>
      <c r="L162" s="1" t="s">
        <v>61</v>
      </c>
      <c r="M162" s="3">
        <v>11276.54</v>
      </c>
      <c r="N162" s="3">
        <v>8756.1200000000008</v>
      </c>
      <c r="O162" s="3">
        <v>45.88</v>
      </c>
      <c r="P162" s="3">
        <v>8710.24</v>
      </c>
      <c r="Q162" s="1" t="s">
        <v>26</v>
      </c>
      <c r="R162" s="9" t="s">
        <v>27</v>
      </c>
      <c r="S162" s="30">
        <f>(Claims_data[[#This Row],[Billed Amount ($)]]-Claims_data[[#This Row],[Paid Amount ($)]])/Claims_data[[#This Row],[Billed Amount ($)]]</f>
        <v>0.22757867218136069</v>
      </c>
    </row>
    <row r="163" spans="1:19" x14ac:dyDescent="0.2">
      <c r="A163" s="8" t="s">
        <v>267</v>
      </c>
      <c r="B163" s="4" t="s">
        <v>96</v>
      </c>
      <c r="C163" s="5">
        <v>45</v>
      </c>
      <c r="D163" s="4" t="s">
        <v>37</v>
      </c>
      <c r="E163" s="4" t="s">
        <v>38</v>
      </c>
      <c r="F163" s="4" t="s">
        <v>39</v>
      </c>
      <c r="G163" s="4" t="s">
        <v>40</v>
      </c>
      <c r="H163" s="4" t="s">
        <v>33</v>
      </c>
      <c r="I163" s="21">
        <v>45555</v>
      </c>
      <c r="J163" s="21" t="str">
        <f>TEXT(Claims_data[[#This Row],[Service Date]],"mmm")</f>
        <v>Sep</v>
      </c>
      <c r="K163" s="4" t="s">
        <v>60</v>
      </c>
      <c r="L163" s="4" t="s">
        <v>61</v>
      </c>
      <c r="M163" s="6">
        <v>5565.31</v>
      </c>
      <c r="N163" s="6">
        <v>4073.13</v>
      </c>
      <c r="O163" s="6">
        <v>87.02</v>
      </c>
      <c r="P163" s="6">
        <v>3986.11</v>
      </c>
      <c r="Q163" s="4" t="s">
        <v>43</v>
      </c>
      <c r="R163" s="10" t="s">
        <v>44</v>
      </c>
      <c r="S163" s="30">
        <f>(Claims_data[[#This Row],[Billed Amount ($)]]-Claims_data[[#This Row],[Paid Amount ($)]])/Claims_data[[#This Row],[Billed Amount ($)]]</f>
        <v>0.28375777809322394</v>
      </c>
    </row>
    <row r="164" spans="1:19" x14ac:dyDescent="0.2">
      <c r="A164" s="7" t="s">
        <v>268</v>
      </c>
      <c r="B164" s="1" t="s">
        <v>222</v>
      </c>
      <c r="C164" s="2">
        <v>26</v>
      </c>
      <c r="D164" s="1" t="s">
        <v>19</v>
      </c>
      <c r="E164" s="1" t="s">
        <v>38</v>
      </c>
      <c r="F164" s="1" t="s">
        <v>46</v>
      </c>
      <c r="G164" s="1" t="s">
        <v>47</v>
      </c>
      <c r="H164" s="1" t="s">
        <v>48</v>
      </c>
      <c r="I164" s="20">
        <v>45557</v>
      </c>
      <c r="J164" s="20" t="str">
        <f>TEXT(Claims_data[[#This Row],[Service Date]],"mmm")</f>
        <v>Sep</v>
      </c>
      <c r="K164" s="1" t="s">
        <v>49</v>
      </c>
      <c r="L164" s="1" t="s">
        <v>50</v>
      </c>
      <c r="M164" s="3">
        <v>9965.23</v>
      </c>
      <c r="N164" s="3">
        <v>7072.34</v>
      </c>
      <c r="O164" s="3">
        <v>112.14</v>
      </c>
      <c r="P164" s="3">
        <v>6960.2</v>
      </c>
      <c r="Q164" s="1" t="s">
        <v>43</v>
      </c>
      <c r="R164" s="9" t="s">
        <v>27</v>
      </c>
      <c r="S164" s="30">
        <f>(Claims_data[[#This Row],[Billed Amount ($)]]-Claims_data[[#This Row],[Paid Amount ($)]])/Claims_data[[#This Row],[Billed Amount ($)]]</f>
        <v>0.30155149454653829</v>
      </c>
    </row>
    <row r="165" spans="1:19" x14ac:dyDescent="0.2">
      <c r="A165" s="8" t="s">
        <v>269</v>
      </c>
      <c r="B165" s="4" t="s">
        <v>55</v>
      </c>
      <c r="C165" s="5">
        <v>55</v>
      </c>
      <c r="D165" s="4" t="s">
        <v>19</v>
      </c>
      <c r="E165" s="4" t="s">
        <v>30</v>
      </c>
      <c r="F165" s="4" t="s">
        <v>82</v>
      </c>
      <c r="G165" s="4" t="s">
        <v>83</v>
      </c>
      <c r="H165" s="4" t="s">
        <v>33</v>
      </c>
      <c r="I165" s="21">
        <v>45438</v>
      </c>
      <c r="J165" s="21" t="str">
        <f>TEXT(Claims_data[[#This Row],[Service Date]],"mmm")</f>
        <v>May</v>
      </c>
      <c r="K165" s="4" t="s">
        <v>111</v>
      </c>
      <c r="L165" s="4" t="s">
        <v>112</v>
      </c>
      <c r="M165" s="6">
        <v>9591.5400000000009</v>
      </c>
      <c r="N165" s="6">
        <v>7362.44</v>
      </c>
      <c r="O165" s="6">
        <v>109.45</v>
      </c>
      <c r="P165" s="6">
        <v>7252.99</v>
      </c>
      <c r="Q165" s="4" t="s">
        <v>43</v>
      </c>
      <c r="R165" s="10" t="s">
        <v>27</v>
      </c>
      <c r="S165" s="30">
        <f>(Claims_data[[#This Row],[Billed Amount ($)]]-Claims_data[[#This Row],[Paid Amount ($)]])/Claims_data[[#This Row],[Billed Amount ($)]]</f>
        <v>0.24381381926155768</v>
      </c>
    </row>
    <row r="166" spans="1:19" x14ac:dyDescent="0.2">
      <c r="A166" s="7" t="s">
        <v>270</v>
      </c>
      <c r="B166" s="1" t="s">
        <v>92</v>
      </c>
      <c r="C166" s="2">
        <v>68</v>
      </c>
      <c r="D166" s="1" t="s">
        <v>37</v>
      </c>
      <c r="E166" s="1" t="s">
        <v>20</v>
      </c>
      <c r="F166" s="1" t="s">
        <v>82</v>
      </c>
      <c r="G166" s="1" t="s">
        <v>83</v>
      </c>
      <c r="H166" s="1" t="s">
        <v>33</v>
      </c>
      <c r="I166" s="20">
        <v>45523</v>
      </c>
      <c r="J166" s="20" t="str">
        <f>TEXT(Claims_data[[#This Row],[Service Date]],"mmm")</f>
        <v>Aug</v>
      </c>
      <c r="K166" s="1" t="s">
        <v>125</v>
      </c>
      <c r="L166" s="1" t="s">
        <v>126</v>
      </c>
      <c r="M166" s="3">
        <v>2170.5700000000002</v>
      </c>
      <c r="N166" s="3">
        <v>1603.42</v>
      </c>
      <c r="O166" s="3">
        <v>100.57</v>
      </c>
      <c r="P166" s="3">
        <v>0</v>
      </c>
      <c r="Q166" s="1" t="s">
        <v>51</v>
      </c>
      <c r="R166" s="9" t="s">
        <v>27</v>
      </c>
      <c r="S166" s="30">
        <f>(Claims_data[[#This Row],[Billed Amount ($)]]-Claims_data[[#This Row],[Paid Amount ($)]])/Claims_data[[#This Row],[Billed Amount ($)]]</f>
        <v>1</v>
      </c>
    </row>
    <row r="167" spans="1:19" x14ac:dyDescent="0.2">
      <c r="A167" s="8" t="s">
        <v>271</v>
      </c>
      <c r="B167" s="4" t="s">
        <v>103</v>
      </c>
      <c r="C167" s="5">
        <v>74</v>
      </c>
      <c r="D167" s="4" t="s">
        <v>19</v>
      </c>
      <c r="E167" s="4" t="s">
        <v>30</v>
      </c>
      <c r="F167" s="4" t="s">
        <v>21</v>
      </c>
      <c r="G167" s="4" t="s">
        <v>22</v>
      </c>
      <c r="H167" s="4" t="s">
        <v>23</v>
      </c>
      <c r="I167" s="21">
        <v>45528</v>
      </c>
      <c r="J167" s="21" t="str">
        <f>TEXT(Claims_data[[#This Row],[Service Date]],"mmm")</f>
        <v>Aug</v>
      </c>
      <c r="K167" s="4" t="s">
        <v>34</v>
      </c>
      <c r="L167" s="4" t="s">
        <v>35</v>
      </c>
      <c r="M167" s="6">
        <v>3867.26</v>
      </c>
      <c r="N167" s="6">
        <v>2302.6799999999998</v>
      </c>
      <c r="O167" s="6">
        <v>109.77</v>
      </c>
      <c r="P167" s="6">
        <v>0</v>
      </c>
      <c r="Q167" s="4" t="s">
        <v>51</v>
      </c>
      <c r="R167" s="10" t="s">
        <v>27</v>
      </c>
      <c r="S167" s="30">
        <f>(Claims_data[[#This Row],[Billed Amount ($)]]-Claims_data[[#This Row],[Paid Amount ($)]])/Claims_data[[#This Row],[Billed Amount ($)]]</f>
        <v>1</v>
      </c>
    </row>
    <row r="168" spans="1:19" x14ac:dyDescent="0.2">
      <c r="A168" s="7" t="s">
        <v>272</v>
      </c>
      <c r="B168" s="1" t="s">
        <v>186</v>
      </c>
      <c r="C168" s="2">
        <v>36</v>
      </c>
      <c r="D168" s="1" t="s">
        <v>19</v>
      </c>
      <c r="E168" s="1" t="s">
        <v>30</v>
      </c>
      <c r="F168" s="1" t="s">
        <v>82</v>
      </c>
      <c r="G168" s="1" t="s">
        <v>83</v>
      </c>
      <c r="H168" s="1" t="s">
        <v>33</v>
      </c>
      <c r="I168" s="20">
        <v>45393</v>
      </c>
      <c r="J168" s="20" t="str">
        <f>TEXT(Claims_data[[#This Row],[Service Date]],"mmm")</f>
        <v>Apr</v>
      </c>
      <c r="K168" s="1" t="s">
        <v>41</v>
      </c>
      <c r="L168" s="1" t="s">
        <v>42</v>
      </c>
      <c r="M168" s="3">
        <v>6796.51</v>
      </c>
      <c r="N168" s="3">
        <v>5773.21</v>
      </c>
      <c r="O168" s="3">
        <v>82.19</v>
      </c>
      <c r="P168" s="3">
        <v>0</v>
      </c>
      <c r="Q168" s="1" t="s">
        <v>51</v>
      </c>
      <c r="R168" s="9" t="s">
        <v>44</v>
      </c>
      <c r="S168" s="30">
        <f>(Claims_data[[#This Row],[Billed Amount ($)]]-Claims_data[[#This Row],[Paid Amount ($)]])/Claims_data[[#This Row],[Billed Amount ($)]]</f>
        <v>1</v>
      </c>
    </row>
    <row r="169" spans="1:19" x14ac:dyDescent="0.2">
      <c r="A169" s="8" t="s">
        <v>273</v>
      </c>
      <c r="B169" s="4" t="s">
        <v>140</v>
      </c>
      <c r="C169" s="5">
        <v>74</v>
      </c>
      <c r="D169" s="4" t="s">
        <v>19</v>
      </c>
      <c r="E169" s="4" t="s">
        <v>30</v>
      </c>
      <c r="F169" s="4" t="s">
        <v>82</v>
      </c>
      <c r="G169" s="4" t="s">
        <v>83</v>
      </c>
      <c r="H169" s="4" t="s">
        <v>33</v>
      </c>
      <c r="I169" s="21">
        <v>45511</v>
      </c>
      <c r="J169" s="21" t="str">
        <f>TEXT(Claims_data[[#This Row],[Service Date]],"mmm")</f>
        <v>Aug</v>
      </c>
      <c r="K169" s="4" t="s">
        <v>73</v>
      </c>
      <c r="L169" s="4" t="s">
        <v>74</v>
      </c>
      <c r="M169" s="6">
        <v>2428.33</v>
      </c>
      <c r="N169" s="6">
        <v>1515.17</v>
      </c>
      <c r="O169" s="6">
        <v>92.55</v>
      </c>
      <c r="P169" s="6">
        <v>1422.62</v>
      </c>
      <c r="Q169" s="4" t="s">
        <v>43</v>
      </c>
      <c r="R169" s="10" t="s">
        <v>44</v>
      </c>
      <c r="S169" s="30">
        <f>(Claims_data[[#This Row],[Billed Amount ($)]]-Claims_data[[#This Row],[Paid Amount ($)]])/Claims_data[[#This Row],[Billed Amount ($)]]</f>
        <v>0.41415705443658812</v>
      </c>
    </row>
    <row r="170" spans="1:19" x14ac:dyDescent="0.2">
      <c r="A170" s="7" t="s">
        <v>274</v>
      </c>
      <c r="B170" s="1" t="s">
        <v>167</v>
      </c>
      <c r="C170" s="2">
        <v>61</v>
      </c>
      <c r="D170" s="1" t="s">
        <v>19</v>
      </c>
      <c r="E170" s="1" t="s">
        <v>38</v>
      </c>
      <c r="F170" s="1" t="s">
        <v>39</v>
      </c>
      <c r="G170" s="1" t="s">
        <v>40</v>
      </c>
      <c r="H170" s="1" t="s">
        <v>33</v>
      </c>
      <c r="I170" s="20">
        <v>45470</v>
      </c>
      <c r="J170" s="20" t="str">
        <f>TEXT(Claims_data[[#This Row],[Service Date]],"mmm")</f>
        <v>Jun</v>
      </c>
      <c r="K170" s="1" t="s">
        <v>60</v>
      </c>
      <c r="L170" s="1" t="s">
        <v>61</v>
      </c>
      <c r="M170" s="3">
        <v>6791.78</v>
      </c>
      <c r="N170" s="3">
        <v>5639.52</v>
      </c>
      <c r="O170" s="3">
        <v>113.82</v>
      </c>
      <c r="P170" s="3">
        <v>5525.7</v>
      </c>
      <c r="Q170" s="1" t="s">
        <v>43</v>
      </c>
      <c r="R170" s="9" t="s">
        <v>44</v>
      </c>
      <c r="S170" s="30">
        <f>(Claims_data[[#This Row],[Billed Amount ($)]]-Claims_data[[#This Row],[Paid Amount ($)]])/Claims_data[[#This Row],[Billed Amount ($)]]</f>
        <v>0.18641357641148565</v>
      </c>
    </row>
    <row r="171" spans="1:19" x14ac:dyDescent="0.2">
      <c r="A171" s="8" t="s">
        <v>275</v>
      </c>
      <c r="B171" s="4" t="s">
        <v>191</v>
      </c>
      <c r="C171" s="5">
        <v>41</v>
      </c>
      <c r="D171" s="4" t="s">
        <v>19</v>
      </c>
      <c r="E171" s="4" t="s">
        <v>20</v>
      </c>
      <c r="F171" s="4" t="s">
        <v>46</v>
      </c>
      <c r="G171" s="4" t="s">
        <v>47</v>
      </c>
      <c r="H171" s="4" t="s">
        <v>48</v>
      </c>
      <c r="I171" s="21">
        <v>45298</v>
      </c>
      <c r="J171" s="21" t="str">
        <f>TEXT(Claims_data[[#This Row],[Service Date]],"mmm")</f>
        <v>Jan</v>
      </c>
      <c r="K171" s="4" t="s">
        <v>41</v>
      </c>
      <c r="L171" s="4" t="s">
        <v>42</v>
      </c>
      <c r="M171" s="6">
        <v>3558.42</v>
      </c>
      <c r="N171" s="6">
        <v>2719.5</v>
      </c>
      <c r="O171" s="6">
        <v>65.03</v>
      </c>
      <c r="P171" s="6">
        <v>0</v>
      </c>
      <c r="Q171" s="4" t="s">
        <v>51</v>
      </c>
      <c r="R171" s="10" t="s">
        <v>44</v>
      </c>
      <c r="S171" s="30">
        <f>(Claims_data[[#This Row],[Billed Amount ($)]]-Claims_data[[#This Row],[Paid Amount ($)]])/Claims_data[[#This Row],[Billed Amount ($)]]</f>
        <v>1</v>
      </c>
    </row>
    <row r="172" spans="1:19" x14ac:dyDescent="0.2">
      <c r="A172" s="7" t="s">
        <v>276</v>
      </c>
      <c r="B172" s="1" t="s">
        <v>109</v>
      </c>
      <c r="C172" s="2">
        <v>58</v>
      </c>
      <c r="D172" s="1" t="s">
        <v>37</v>
      </c>
      <c r="E172" s="1" t="s">
        <v>30</v>
      </c>
      <c r="F172" s="1" t="s">
        <v>46</v>
      </c>
      <c r="G172" s="1" t="s">
        <v>47</v>
      </c>
      <c r="H172" s="1" t="s">
        <v>48</v>
      </c>
      <c r="I172" s="20">
        <v>45359</v>
      </c>
      <c r="J172" s="20" t="str">
        <f>TEXT(Claims_data[[#This Row],[Service Date]],"mmm")</f>
        <v>Mar</v>
      </c>
      <c r="K172" s="1" t="s">
        <v>65</v>
      </c>
      <c r="L172" s="1" t="s">
        <v>66</v>
      </c>
      <c r="M172" s="3">
        <v>1444.33</v>
      </c>
      <c r="N172" s="3">
        <v>1115.4100000000001</v>
      </c>
      <c r="O172" s="3">
        <v>51.11</v>
      </c>
      <c r="P172" s="3">
        <v>1064.3</v>
      </c>
      <c r="Q172" s="1" t="s">
        <v>43</v>
      </c>
      <c r="R172" s="9" t="s">
        <v>27</v>
      </c>
      <c r="S172" s="30">
        <f>(Claims_data[[#This Row],[Billed Amount ($)]]-Claims_data[[#This Row],[Paid Amount ($)]])/Claims_data[[#This Row],[Billed Amount ($)]]</f>
        <v>0.26311853939196722</v>
      </c>
    </row>
    <row r="173" spans="1:19" x14ac:dyDescent="0.2">
      <c r="A173" s="8" t="s">
        <v>277</v>
      </c>
      <c r="B173" s="4" t="s">
        <v>88</v>
      </c>
      <c r="C173" s="5">
        <v>35</v>
      </c>
      <c r="D173" s="4" t="s">
        <v>19</v>
      </c>
      <c r="E173" s="4" t="s">
        <v>30</v>
      </c>
      <c r="F173" s="4" t="s">
        <v>39</v>
      </c>
      <c r="G173" s="4" t="s">
        <v>40</v>
      </c>
      <c r="H173" s="4" t="s">
        <v>33</v>
      </c>
      <c r="I173" s="21">
        <v>45459</v>
      </c>
      <c r="J173" s="21" t="str">
        <f>TEXT(Claims_data[[#This Row],[Service Date]],"mmm")</f>
        <v>Jun</v>
      </c>
      <c r="K173" s="4" t="s">
        <v>24</v>
      </c>
      <c r="L173" s="4" t="s">
        <v>25</v>
      </c>
      <c r="M173" s="6">
        <v>8650.69</v>
      </c>
      <c r="N173" s="6">
        <v>5018.8100000000004</v>
      </c>
      <c r="O173" s="6">
        <v>120.2</v>
      </c>
      <c r="P173" s="6">
        <v>4898.6099999999997</v>
      </c>
      <c r="Q173" s="4" t="s">
        <v>43</v>
      </c>
      <c r="R173" s="10" t="s">
        <v>44</v>
      </c>
      <c r="S173" s="30">
        <f>(Claims_data[[#This Row],[Billed Amount ($)]]-Claims_data[[#This Row],[Paid Amount ($)]])/Claims_data[[#This Row],[Billed Amount ($)]]</f>
        <v>0.43373187572320826</v>
      </c>
    </row>
    <row r="174" spans="1:19" x14ac:dyDescent="0.2">
      <c r="A174" s="7" t="s">
        <v>278</v>
      </c>
      <c r="B174" s="1" t="s">
        <v>53</v>
      </c>
      <c r="C174" s="2">
        <v>59</v>
      </c>
      <c r="D174" s="1" t="s">
        <v>37</v>
      </c>
      <c r="E174" s="1" t="s">
        <v>20</v>
      </c>
      <c r="F174" s="1" t="s">
        <v>46</v>
      </c>
      <c r="G174" s="1" t="s">
        <v>47</v>
      </c>
      <c r="H174" s="1" t="s">
        <v>48</v>
      </c>
      <c r="I174" s="20">
        <v>45457</v>
      </c>
      <c r="J174" s="20" t="str">
        <f>TEXT(Claims_data[[#This Row],[Service Date]],"mmm")</f>
        <v>Jun</v>
      </c>
      <c r="K174" s="1" t="s">
        <v>34</v>
      </c>
      <c r="L174" s="1" t="s">
        <v>35</v>
      </c>
      <c r="M174" s="3">
        <v>3532.17</v>
      </c>
      <c r="N174" s="3">
        <v>2005.39</v>
      </c>
      <c r="O174" s="3">
        <v>119.93</v>
      </c>
      <c r="P174" s="3">
        <v>1885.46</v>
      </c>
      <c r="Q174" s="1" t="s">
        <v>26</v>
      </c>
      <c r="R174" s="9" t="s">
        <v>27</v>
      </c>
      <c r="S174" s="30">
        <f>(Claims_data[[#This Row],[Billed Amount ($)]]-Claims_data[[#This Row],[Paid Amount ($)]])/Claims_data[[#This Row],[Billed Amount ($)]]</f>
        <v>0.46620349530175503</v>
      </c>
    </row>
    <row r="175" spans="1:19" x14ac:dyDescent="0.2">
      <c r="A175" s="8" t="s">
        <v>279</v>
      </c>
      <c r="B175" s="4" t="s">
        <v>164</v>
      </c>
      <c r="C175" s="5">
        <v>25</v>
      </c>
      <c r="D175" s="4" t="s">
        <v>19</v>
      </c>
      <c r="E175" s="4" t="s">
        <v>30</v>
      </c>
      <c r="F175" s="4" t="s">
        <v>39</v>
      </c>
      <c r="G175" s="4" t="s">
        <v>40</v>
      </c>
      <c r="H175" s="4" t="s">
        <v>33</v>
      </c>
      <c r="I175" s="21">
        <v>45524</v>
      </c>
      <c r="J175" s="21" t="str">
        <f>TEXT(Claims_data[[#This Row],[Service Date]],"mmm")</f>
        <v>Aug</v>
      </c>
      <c r="K175" s="4" t="s">
        <v>125</v>
      </c>
      <c r="L175" s="4" t="s">
        <v>126</v>
      </c>
      <c r="M175" s="6">
        <v>2357.79</v>
      </c>
      <c r="N175" s="6">
        <v>1826.58</v>
      </c>
      <c r="O175" s="6">
        <v>133.4</v>
      </c>
      <c r="P175" s="6">
        <v>1693.18</v>
      </c>
      <c r="Q175" s="4" t="s">
        <v>43</v>
      </c>
      <c r="R175" s="10" t="s">
        <v>27</v>
      </c>
      <c r="S175" s="30">
        <f>(Claims_data[[#This Row],[Billed Amount ($)]]-Claims_data[[#This Row],[Paid Amount ($)]])/Claims_data[[#This Row],[Billed Amount ($)]]</f>
        <v>0.28187836915077252</v>
      </c>
    </row>
    <row r="176" spans="1:19" x14ac:dyDescent="0.2">
      <c r="A176" s="7" t="s">
        <v>280</v>
      </c>
      <c r="B176" s="1" t="s">
        <v>103</v>
      </c>
      <c r="C176" s="2">
        <v>54</v>
      </c>
      <c r="D176" s="1" t="s">
        <v>19</v>
      </c>
      <c r="E176" s="1" t="s">
        <v>20</v>
      </c>
      <c r="F176" s="1" t="s">
        <v>46</v>
      </c>
      <c r="G176" s="1" t="s">
        <v>47</v>
      </c>
      <c r="H176" s="1" t="s">
        <v>48</v>
      </c>
      <c r="I176" s="20">
        <v>45530</v>
      </c>
      <c r="J176" s="20" t="str">
        <f>TEXT(Claims_data[[#This Row],[Service Date]],"mmm")</f>
        <v>Aug</v>
      </c>
      <c r="K176" s="1" t="s">
        <v>60</v>
      </c>
      <c r="L176" s="1" t="s">
        <v>61</v>
      </c>
      <c r="M176" s="3">
        <v>11870.83</v>
      </c>
      <c r="N176" s="3">
        <v>8463.7800000000007</v>
      </c>
      <c r="O176" s="3">
        <v>84.21</v>
      </c>
      <c r="P176" s="3">
        <v>8379.57</v>
      </c>
      <c r="Q176" s="1" t="s">
        <v>43</v>
      </c>
      <c r="R176" s="9" t="s">
        <v>27</v>
      </c>
      <c r="S176" s="30">
        <f>(Claims_data[[#This Row],[Billed Amount ($)]]-Claims_data[[#This Row],[Paid Amount ($)]])/Claims_data[[#This Row],[Billed Amount ($)]]</f>
        <v>0.29410411908855577</v>
      </c>
    </row>
    <row r="177" spans="1:19" x14ac:dyDescent="0.2">
      <c r="A177" s="8" t="s">
        <v>281</v>
      </c>
      <c r="B177" s="4" t="s">
        <v>120</v>
      </c>
      <c r="C177" s="5">
        <v>61</v>
      </c>
      <c r="D177" s="4" t="s">
        <v>37</v>
      </c>
      <c r="E177" s="4" t="s">
        <v>20</v>
      </c>
      <c r="F177" s="4" t="s">
        <v>31</v>
      </c>
      <c r="G177" s="4" t="s">
        <v>32</v>
      </c>
      <c r="H177" s="4" t="s">
        <v>33</v>
      </c>
      <c r="I177" s="21">
        <v>45646</v>
      </c>
      <c r="J177" s="21" t="str">
        <f>TEXT(Claims_data[[#This Row],[Service Date]],"mmm")</f>
        <v>Dec</v>
      </c>
      <c r="K177" s="4" t="s">
        <v>60</v>
      </c>
      <c r="L177" s="4" t="s">
        <v>61</v>
      </c>
      <c r="M177" s="6">
        <v>5588.14</v>
      </c>
      <c r="N177" s="6">
        <v>3504.77</v>
      </c>
      <c r="O177" s="6">
        <v>44.21</v>
      </c>
      <c r="P177" s="6">
        <v>3460.56</v>
      </c>
      <c r="Q177" s="4" t="s">
        <v>43</v>
      </c>
      <c r="R177" s="10" t="s">
        <v>44</v>
      </c>
      <c r="S177" s="30">
        <f>(Claims_data[[#This Row],[Billed Amount ($)]]-Claims_data[[#This Row],[Paid Amount ($)]])/Claims_data[[#This Row],[Billed Amount ($)]]</f>
        <v>0.38073133457644232</v>
      </c>
    </row>
    <row r="178" spans="1:19" x14ac:dyDescent="0.2">
      <c r="A178" s="7" t="s">
        <v>282</v>
      </c>
      <c r="B178" s="1" t="s">
        <v>222</v>
      </c>
      <c r="C178" s="2">
        <v>45</v>
      </c>
      <c r="D178" s="1" t="s">
        <v>37</v>
      </c>
      <c r="E178" s="1" t="s">
        <v>20</v>
      </c>
      <c r="F178" s="1" t="s">
        <v>82</v>
      </c>
      <c r="G178" s="1" t="s">
        <v>83</v>
      </c>
      <c r="H178" s="1" t="s">
        <v>33</v>
      </c>
      <c r="I178" s="20">
        <v>45452</v>
      </c>
      <c r="J178" s="20" t="str">
        <f>TEXT(Claims_data[[#This Row],[Service Date]],"mmm")</f>
        <v>Jun</v>
      </c>
      <c r="K178" s="1" t="s">
        <v>111</v>
      </c>
      <c r="L178" s="1" t="s">
        <v>112</v>
      </c>
      <c r="M178" s="3">
        <v>1177.8399999999999</v>
      </c>
      <c r="N178" s="3">
        <v>884.29</v>
      </c>
      <c r="O178" s="3">
        <v>44.02</v>
      </c>
      <c r="P178" s="3">
        <v>840.27</v>
      </c>
      <c r="Q178" s="1" t="s">
        <v>43</v>
      </c>
      <c r="R178" s="9" t="s">
        <v>44</v>
      </c>
      <c r="S178" s="30">
        <f>(Claims_data[[#This Row],[Billed Amount ($)]]-Claims_data[[#This Row],[Paid Amount ($)]])/Claims_data[[#This Row],[Billed Amount ($)]]</f>
        <v>0.2866008965564083</v>
      </c>
    </row>
    <row r="179" spans="1:19" x14ac:dyDescent="0.2">
      <c r="A179" s="8" t="s">
        <v>283</v>
      </c>
      <c r="B179" s="4" t="s">
        <v>198</v>
      </c>
      <c r="C179" s="5">
        <v>66</v>
      </c>
      <c r="D179" s="4" t="s">
        <v>19</v>
      </c>
      <c r="E179" s="4" t="s">
        <v>30</v>
      </c>
      <c r="F179" s="4" t="s">
        <v>39</v>
      </c>
      <c r="G179" s="4" t="s">
        <v>40</v>
      </c>
      <c r="H179" s="4" t="s">
        <v>33</v>
      </c>
      <c r="I179" s="21">
        <v>45420</v>
      </c>
      <c r="J179" s="21" t="str">
        <f>TEXT(Claims_data[[#This Row],[Service Date]],"mmm")</f>
        <v>May</v>
      </c>
      <c r="K179" s="4" t="s">
        <v>34</v>
      </c>
      <c r="L179" s="4" t="s">
        <v>35</v>
      </c>
      <c r="M179" s="6">
        <v>11455.31</v>
      </c>
      <c r="N179" s="6">
        <v>7338.09</v>
      </c>
      <c r="O179" s="6">
        <v>113.97</v>
      </c>
      <c r="P179" s="6">
        <v>7224.12</v>
      </c>
      <c r="Q179" s="4" t="s">
        <v>43</v>
      </c>
      <c r="R179" s="10" t="s">
        <v>27</v>
      </c>
      <c r="S179" s="30">
        <f>(Claims_data[[#This Row],[Billed Amount ($)]]-Claims_data[[#This Row],[Paid Amount ($)]])/Claims_data[[#This Row],[Billed Amount ($)]]</f>
        <v>0.36936494952995597</v>
      </c>
    </row>
    <row r="180" spans="1:19" x14ac:dyDescent="0.2">
      <c r="A180" s="7" t="s">
        <v>284</v>
      </c>
      <c r="B180" s="1" t="s">
        <v>146</v>
      </c>
      <c r="C180" s="2">
        <v>32</v>
      </c>
      <c r="D180" s="1" t="s">
        <v>19</v>
      </c>
      <c r="E180" s="1" t="s">
        <v>38</v>
      </c>
      <c r="F180" s="1" t="s">
        <v>39</v>
      </c>
      <c r="G180" s="1" t="s">
        <v>40</v>
      </c>
      <c r="H180" s="1" t="s">
        <v>33</v>
      </c>
      <c r="I180" s="20">
        <v>45432</v>
      </c>
      <c r="J180" s="20" t="str">
        <f>TEXT(Claims_data[[#This Row],[Service Date]],"mmm")</f>
        <v>May</v>
      </c>
      <c r="K180" s="1" t="s">
        <v>24</v>
      </c>
      <c r="L180" s="1" t="s">
        <v>25</v>
      </c>
      <c r="M180" s="3">
        <v>2042.64</v>
      </c>
      <c r="N180" s="3">
        <v>1543.87</v>
      </c>
      <c r="O180" s="3">
        <v>140</v>
      </c>
      <c r="P180" s="3">
        <v>1403.87</v>
      </c>
      <c r="Q180" s="1" t="s">
        <v>43</v>
      </c>
      <c r="R180" s="9" t="s">
        <v>27</v>
      </c>
      <c r="S180" s="30">
        <f>(Claims_data[[#This Row],[Billed Amount ($)]]-Claims_data[[#This Row],[Paid Amount ($)]])/Claims_data[[#This Row],[Billed Amount ($)]]</f>
        <v>0.31271785532448215</v>
      </c>
    </row>
    <row r="181" spans="1:19" x14ac:dyDescent="0.2">
      <c r="A181" s="8" t="s">
        <v>285</v>
      </c>
      <c r="B181" s="4" t="s">
        <v>146</v>
      </c>
      <c r="C181" s="5">
        <v>60</v>
      </c>
      <c r="D181" s="4" t="s">
        <v>19</v>
      </c>
      <c r="E181" s="4" t="s">
        <v>30</v>
      </c>
      <c r="F181" s="4" t="s">
        <v>31</v>
      </c>
      <c r="G181" s="4" t="s">
        <v>32</v>
      </c>
      <c r="H181" s="4" t="s">
        <v>33</v>
      </c>
      <c r="I181" s="21">
        <v>45530</v>
      </c>
      <c r="J181" s="21" t="str">
        <f>TEXT(Claims_data[[#This Row],[Service Date]],"mmm")</f>
        <v>Aug</v>
      </c>
      <c r="K181" s="4" t="s">
        <v>34</v>
      </c>
      <c r="L181" s="4" t="s">
        <v>35</v>
      </c>
      <c r="M181" s="6">
        <v>1965.25</v>
      </c>
      <c r="N181" s="6">
        <v>1521.73</v>
      </c>
      <c r="O181" s="6">
        <v>98.75</v>
      </c>
      <c r="P181" s="6">
        <v>0</v>
      </c>
      <c r="Q181" s="4" t="s">
        <v>51</v>
      </c>
      <c r="R181" s="10" t="s">
        <v>27</v>
      </c>
      <c r="S181" s="30">
        <f>(Claims_data[[#This Row],[Billed Amount ($)]]-Claims_data[[#This Row],[Paid Amount ($)]])/Claims_data[[#This Row],[Billed Amount ($)]]</f>
        <v>1</v>
      </c>
    </row>
    <row r="182" spans="1:19" x14ac:dyDescent="0.2">
      <c r="A182" s="7" t="s">
        <v>286</v>
      </c>
      <c r="B182" s="1" t="s">
        <v>167</v>
      </c>
      <c r="C182" s="2">
        <v>28</v>
      </c>
      <c r="D182" s="1" t="s">
        <v>37</v>
      </c>
      <c r="E182" s="1" t="s">
        <v>30</v>
      </c>
      <c r="F182" s="1" t="s">
        <v>82</v>
      </c>
      <c r="G182" s="1" t="s">
        <v>83</v>
      </c>
      <c r="H182" s="1" t="s">
        <v>33</v>
      </c>
      <c r="I182" s="20">
        <v>45340</v>
      </c>
      <c r="J182" s="20" t="str">
        <f>TEXT(Claims_data[[#This Row],[Service Date]],"mmm")</f>
        <v>Feb</v>
      </c>
      <c r="K182" s="1" t="s">
        <v>34</v>
      </c>
      <c r="L182" s="1" t="s">
        <v>35</v>
      </c>
      <c r="M182" s="3">
        <v>6377.25</v>
      </c>
      <c r="N182" s="3">
        <v>4517.9799999999996</v>
      </c>
      <c r="O182" s="3">
        <v>67.03</v>
      </c>
      <c r="P182" s="3">
        <v>4450.95</v>
      </c>
      <c r="Q182" s="1" t="s">
        <v>26</v>
      </c>
      <c r="R182" s="9" t="s">
        <v>27</v>
      </c>
      <c r="S182" s="30">
        <f>(Claims_data[[#This Row],[Billed Amount ($)]]-Claims_data[[#This Row],[Paid Amount ($)]])/Claims_data[[#This Row],[Billed Amount ($)]]</f>
        <v>0.30205809714218512</v>
      </c>
    </row>
    <row r="183" spans="1:19" x14ac:dyDescent="0.2">
      <c r="A183" s="8" t="s">
        <v>287</v>
      </c>
      <c r="B183" s="4" t="s">
        <v>18</v>
      </c>
      <c r="C183" s="5">
        <v>57</v>
      </c>
      <c r="D183" s="4" t="s">
        <v>19</v>
      </c>
      <c r="E183" s="4" t="s">
        <v>20</v>
      </c>
      <c r="F183" s="4" t="s">
        <v>46</v>
      </c>
      <c r="G183" s="4" t="s">
        <v>47</v>
      </c>
      <c r="H183" s="4" t="s">
        <v>48</v>
      </c>
      <c r="I183" s="21">
        <v>45550</v>
      </c>
      <c r="J183" s="21" t="str">
        <f>TEXT(Claims_data[[#This Row],[Service Date]],"mmm")</f>
        <v>Sep</v>
      </c>
      <c r="K183" s="4" t="s">
        <v>41</v>
      </c>
      <c r="L183" s="4" t="s">
        <v>42</v>
      </c>
      <c r="M183" s="6">
        <v>5385.81</v>
      </c>
      <c r="N183" s="6">
        <v>4061.38</v>
      </c>
      <c r="O183" s="6">
        <v>113.2</v>
      </c>
      <c r="P183" s="6">
        <v>0</v>
      </c>
      <c r="Q183" s="4" t="s">
        <v>51</v>
      </c>
      <c r="R183" s="10" t="s">
        <v>27</v>
      </c>
      <c r="S183" s="30">
        <f>(Claims_data[[#This Row],[Billed Amount ($)]]-Claims_data[[#This Row],[Paid Amount ($)]])/Claims_data[[#This Row],[Billed Amount ($)]]</f>
        <v>1</v>
      </c>
    </row>
    <row r="184" spans="1:19" x14ac:dyDescent="0.2">
      <c r="A184" s="7" t="s">
        <v>288</v>
      </c>
      <c r="B184" s="1" t="s">
        <v>211</v>
      </c>
      <c r="C184" s="2">
        <v>26</v>
      </c>
      <c r="D184" s="1" t="s">
        <v>19</v>
      </c>
      <c r="E184" s="1" t="s">
        <v>38</v>
      </c>
      <c r="F184" s="1" t="s">
        <v>39</v>
      </c>
      <c r="G184" s="1" t="s">
        <v>40</v>
      </c>
      <c r="H184" s="1" t="s">
        <v>33</v>
      </c>
      <c r="I184" s="20">
        <v>45531</v>
      </c>
      <c r="J184" s="20" t="str">
        <f>TEXT(Claims_data[[#This Row],[Service Date]],"mmm")</f>
        <v>Aug</v>
      </c>
      <c r="K184" s="1" t="s">
        <v>65</v>
      </c>
      <c r="L184" s="1" t="s">
        <v>66</v>
      </c>
      <c r="M184" s="3">
        <v>6832.35</v>
      </c>
      <c r="N184" s="3">
        <v>4903.16</v>
      </c>
      <c r="O184" s="3">
        <v>107.46</v>
      </c>
      <c r="P184" s="3">
        <v>4795.7</v>
      </c>
      <c r="Q184" s="1" t="s">
        <v>43</v>
      </c>
      <c r="R184" s="9" t="s">
        <v>27</v>
      </c>
      <c r="S184" s="30">
        <f>(Claims_data[[#This Row],[Billed Amount ($)]]-Claims_data[[#This Row],[Paid Amount ($)]])/Claims_data[[#This Row],[Billed Amount ($)]]</f>
        <v>0.29808923723169928</v>
      </c>
    </row>
    <row r="185" spans="1:19" x14ac:dyDescent="0.2">
      <c r="A185" s="8" t="s">
        <v>289</v>
      </c>
      <c r="B185" s="4" t="s">
        <v>72</v>
      </c>
      <c r="C185" s="5">
        <v>55</v>
      </c>
      <c r="D185" s="4" t="s">
        <v>37</v>
      </c>
      <c r="E185" s="4" t="s">
        <v>38</v>
      </c>
      <c r="F185" s="4" t="s">
        <v>82</v>
      </c>
      <c r="G185" s="4" t="s">
        <v>83</v>
      </c>
      <c r="H185" s="4" t="s">
        <v>33</v>
      </c>
      <c r="I185" s="21">
        <v>45336</v>
      </c>
      <c r="J185" s="21" t="str">
        <f>TEXT(Claims_data[[#This Row],[Service Date]],"mmm")</f>
        <v>Feb</v>
      </c>
      <c r="K185" s="4" t="s">
        <v>34</v>
      </c>
      <c r="L185" s="4" t="s">
        <v>35</v>
      </c>
      <c r="M185" s="6">
        <v>686.68</v>
      </c>
      <c r="N185" s="6">
        <v>448.65</v>
      </c>
      <c r="O185" s="6">
        <v>28.29</v>
      </c>
      <c r="P185" s="6">
        <v>420.36</v>
      </c>
      <c r="Q185" s="4" t="s">
        <v>43</v>
      </c>
      <c r="R185" s="10" t="s">
        <v>27</v>
      </c>
      <c r="S185" s="30">
        <f>(Claims_data[[#This Row],[Billed Amount ($)]]-Claims_data[[#This Row],[Paid Amount ($)]])/Claims_data[[#This Row],[Billed Amount ($)]]</f>
        <v>0.38783712937612858</v>
      </c>
    </row>
    <row r="186" spans="1:19" x14ac:dyDescent="0.2">
      <c r="A186" s="7" t="s">
        <v>290</v>
      </c>
      <c r="B186" s="1" t="s">
        <v>173</v>
      </c>
      <c r="C186" s="2">
        <v>30</v>
      </c>
      <c r="D186" s="1" t="s">
        <v>37</v>
      </c>
      <c r="E186" s="1" t="s">
        <v>30</v>
      </c>
      <c r="F186" s="1" t="s">
        <v>39</v>
      </c>
      <c r="G186" s="1" t="s">
        <v>40</v>
      </c>
      <c r="H186" s="1" t="s">
        <v>33</v>
      </c>
      <c r="I186" s="20">
        <v>45471</v>
      </c>
      <c r="J186" s="20" t="str">
        <f>TEXT(Claims_data[[#This Row],[Service Date]],"mmm")</f>
        <v>Jun</v>
      </c>
      <c r="K186" s="1" t="s">
        <v>41</v>
      </c>
      <c r="L186" s="1" t="s">
        <v>42</v>
      </c>
      <c r="M186" s="3">
        <v>11915.35</v>
      </c>
      <c r="N186" s="3">
        <v>7920.66</v>
      </c>
      <c r="O186" s="3">
        <v>133.05000000000001</v>
      </c>
      <c r="P186" s="3">
        <v>0</v>
      </c>
      <c r="Q186" s="1" t="s">
        <v>51</v>
      </c>
      <c r="R186" s="9" t="s">
        <v>44</v>
      </c>
      <c r="S186" s="30">
        <f>(Claims_data[[#This Row],[Billed Amount ($)]]-Claims_data[[#This Row],[Paid Amount ($)]])/Claims_data[[#This Row],[Billed Amount ($)]]</f>
        <v>1</v>
      </c>
    </row>
    <row r="187" spans="1:19" x14ac:dyDescent="0.2">
      <c r="A187" s="8" t="s">
        <v>291</v>
      </c>
      <c r="B187" s="4" t="s">
        <v>68</v>
      </c>
      <c r="C187" s="5">
        <v>26</v>
      </c>
      <c r="D187" s="4" t="s">
        <v>19</v>
      </c>
      <c r="E187" s="4" t="s">
        <v>38</v>
      </c>
      <c r="F187" s="4" t="s">
        <v>31</v>
      </c>
      <c r="G187" s="4" t="s">
        <v>32</v>
      </c>
      <c r="H187" s="4" t="s">
        <v>33</v>
      </c>
      <c r="I187" s="21">
        <v>45557</v>
      </c>
      <c r="J187" s="21" t="str">
        <f>TEXT(Claims_data[[#This Row],[Service Date]],"mmm")</f>
        <v>Sep</v>
      </c>
      <c r="K187" s="4" t="s">
        <v>24</v>
      </c>
      <c r="L187" s="4" t="s">
        <v>25</v>
      </c>
      <c r="M187" s="6">
        <v>4807.74</v>
      </c>
      <c r="N187" s="6">
        <v>2827.93</v>
      </c>
      <c r="O187" s="6">
        <v>147.22999999999999</v>
      </c>
      <c r="P187" s="6">
        <v>2680.7</v>
      </c>
      <c r="Q187" s="4" t="s">
        <v>43</v>
      </c>
      <c r="R187" s="10" t="s">
        <v>44</v>
      </c>
      <c r="S187" s="30">
        <f>(Claims_data[[#This Row],[Billed Amount ($)]]-Claims_data[[#This Row],[Paid Amount ($)]])/Claims_data[[#This Row],[Billed Amount ($)]]</f>
        <v>0.44241993119428258</v>
      </c>
    </row>
    <row r="188" spans="1:19" x14ac:dyDescent="0.2">
      <c r="A188" s="7" t="s">
        <v>292</v>
      </c>
      <c r="B188" s="1" t="s">
        <v>164</v>
      </c>
      <c r="C188" s="2">
        <v>67</v>
      </c>
      <c r="D188" s="1" t="s">
        <v>19</v>
      </c>
      <c r="E188" s="1" t="s">
        <v>30</v>
      </c>
      <c r="F188" s="1" t="s">
        <v>39</v>
      </c>
      <c r="G188" s="1" t="s">
        <v>40</v>
      </c>
      <c r="H188" s="1" t="s">
        <v>33</v>
      </c>
      <c r="I188" s="20">
        <v>45407</v>
      </c>
      <c r="J188" s="20" t="str">
        <f>TEXT(Claims_data[[#This Row],[Service Date]],"mmm")</f>
        <v>Apr</v>
      </c>
      <c r="K188" s="1" t="s">
        <v>65</v>
      </c>
      <c r="L188" s="1" t="s">
        <v>66</v>
      </c>
      <c r="M188" s="3">
        <v>3083.02</v>
      </c>
      <c r="N188" s="3">
        <v>2015.83</v>
      </c>
      <c r="O188" s="3">
        <v>55.83</v>
      </c>
      <c r="P188" s="3">
        <v>1960</v>
      </c>
      <c r="Q188" s="1" t="s">
        <v>43</v>
      </c>
      <c r="R188" s="9" t="s">
        <v>27</v>
      </c>
      <c r="S188" s="30">
        <f>(Claims_data[[#This Row],[Billed Amount ($)]]-Claims_data[[#This Row],[Paid Amount ($)]])/Claims_data[[#This Row],[Billed Amount ($)]]</f>
        <v>0.3642597193660761</v>
      </c>
    </row>
    <row r="189" spans="1:19" x14ac:dyDescent="0.2">
      <c r="A189" s="8" t="s">
        <v>293</v>
      </c>
      <c r="B189" s="4" t="s">
        <v>79</v>
      </c>
      <c r="C189" s="5">
        <v>72</v>
      </c>
      <c r="D189" s="4" t="s">
        <v>37</v>
      </c>
      <c r="E189" s="4" t="s">
        <v>38</v>
      </c>
      <c r="F189" s="4" t="s">
        <v>31</v>
      </c>
      <c r="G189" s="4" t="s">
        <v>32</v>
      </c>
      <c r="H189" s="4" t="s">
        <v>33</v>
      </c>
      <c r="I189" s="21">
        <v>45337</v>
      </c>
      <c r="J189" s="21" t="str">
        <f>TEXT(Claims_data[[#This Row],[Service Date]],"mmm")</f>
        <v>Feb</v>
      </c>
      <c r="K189" s="4" t="s">
        <v>34</v>
      </c>
      <c r="L189" s="4" t="s">
        <v>35</v>
      </c>
      <c r="M189" s="6">
        <v>1345.63</v>
      </c>
      <c r="N189" s="6">
        <v>753.65</v>
      </c>
      <c r="O189" s="6">
        <v>97.71</v>
      </c>
      <c r="P189" s="6">
        <v>655.94</v>
      </c>
      <c r="Q189" s="4" t="s">
        <v>43</v>
      </c>
      <c r="R189" s="10" t="s">
        <v>27</v>
      </c>
      <c r="S189" s="30">
        <f>(Claims_data[[#This Row],[Billed Amount ($)]]-Claims_data[[#This Row],[Paid Amount ($)]])/Claims_data[[#This Row],[Billed Amount ($)]]</f>
        <v>0.51254059436843713</v>
      </c>
    </row>
    <row r="190" spans="1:19" x14ac:dyDescent="0.2">
      <c r="A190" s="7" t="s">
        <v>294</v>
      </c>
      <c r="B190" s="1" t="s">
        <v>186</v>
      </c>
      <c r="C190" s="2">
        <v>61</v>
      </c>
      <c r="D190" s="1" t="s">
        <v>19</v>
      </c>
      <c r="E190" s="1" t="s">
        <v>20</v>
      </c>
      <c r="F190" s="1" t="s">
        <v>31</v>
      </c>
      <c r="G190" s="1" t="s">
        <v>32</v>
      </c>
      <c r="H190" s="1" t="s">
        <v>33</v>
      </c>
      <c r="I190" s="20">
        <v>45301</v>
      </c>
      <c r="J190" s="20" t="str">
        <f>TEXT(Claims_data[[#This Row],[Service Date]],"mmm")</f>
        <v>Jan</v>
      </c>
      <c r="K190" s="1" t="s">
        <v>65</v>
      </c>
      <c r="L190" s="1" t="s">
        <v>66</v>
      </c>
      <c r="M190" s="3">
        <v>1810.61</v>
      </c>
      <c r="N190" s="3">
        <v>1535.48</v>
      </c>
      <c r="O190" s="3">
        <v>50.44</v>
      </c>
      <c r="P190" s="3">
        <v>1485.04</v>
      </c>
      <c r="Q190" s="1" t="s">
        <v>26</v>
      </c>
      <c r="R190" s="9" t="s">
        <v>27</v>
      </c>
      <c r="S190" s="30">
        <f>(Claims_data[[#This Row],[Billed Amount ($)]]-Claims_data[[#This Row],[Paid Amount ($)]])/Claims_data[[#This Row],[Billed Amount ($)]]</f>
        <v>0.17981232844179584</v>
      </c>
    </row>
    <row r="191" spans="1:19" x14ac:dyDescent="0.2">
      <c r="A191" s="8" t="s">
        <v>295</v>
      </c>
      <c r="B191" s="4" t="s">
        <v>128</v>
      </c>
      <c r="C191" s="5">
        <v>68</v>
      </c>
      <c r="D191" s="4" t="s">
        <v>19</v>
      </c>
      <c r="E191" s="4" t="s">
        <v>30</v>
      </c>
      <c r="F191" s="4" t="s">
        <v>31</v>
      </c>
      <c r="G191" s="4" t="s">
        <v>32</v>
      </c>
      <c r="H191" s="4" t="s">
        <v>33</v>
      </c>
      <c r="I191" s="21">
        <v>45489</v>
      </c>
      <c r="J191" s="21" t="str">
        <f>TEXT(Claims_data[[#This Row],[Service Date]],"mmm")</f>
        <v>Jul</v>
      </c>
      <c r="K191" s="4" t="s">
        <v>65</v>
      </c>
      <c r="L191" s="4" t="s">
        <v>66</v>
      </c>
      <c r="M191" s="6">
        <v>3710.94</v>
      </c>
      <c r="N191" s="6">
        <v>2108.88</v>
      </c>
      <c r="O191" s="6">
        <v>143.31</v>
      </c>
      <c r="P191" s="6">
        <v>1965.57</v>
      </c>
      <c r="Q191" s="4" t="s">
        <v>43</v>
      </c>
      <c r="R191" s="10" t="s">
        <v>27</v>
      </c>
      <c r="S191" s="30">
        <f>(Claims_data[[#This Row],[Billed Amount ($)]]-Claims_data[[#This Row],[Paid Amount ($)]])/Claims_data[[#This Row],[Billed Amount ($)]]</f>
        <v>0.4703309673559799</v>
      </c>
    </row>
    <row r="192" spans="1:19" x14ac:dyDescent="0.2">
      <c r="A192" s="7" t="s">
        <v>296</v>
      </c>
      <c r="B192" s="1" t="s">
        <v>209</v>
      </c>
      <c r="C192" s="2">
        <v>73</v>
      </c>
      <c r="D192" s="1" t="s">
        <v>19</v>
      </c>
      <c r="E192" s="1" t="s">
        <v>20</v>
      </c>
      <c r="F192" s="1" t="s">
        <v>39</v>
      </c>
      <c r="G192" s="1" t="s">
        <v>40</v>
      </c>
      <c r="H192" s="1" t="s">
        <v>33</v>
      </c>
      <c r="I192" s="20">
        <v>45563</v>
      </c>
      <c r="J192" s="20" t="str">
        <f>TEXT(Claims_data[[#This Row],[Service Date]],"mmm")</f>
        <v>Sep</v>
      </c>
      <c r="K192" s="1" t="s">
        <v>60</v>
      </c>
      <c r="L192" s="1" t="s">
        <v>61</v>
      </c>
      <c r="M192" s="3">
        <v>3927</v>
      </c>
      <c r="N192" s="3">
        <v>2650.32</v>
      </c>
      <c r="O192" s="3">
        <v>39.4</v>
      </c>
      <c r="P192" s="3">
        <v>0</v>
      </c>
      <c r="Q192" s="1" t="s">
        <v>51</v>
      </c>
      <c r="R192" s="9" t="s">
        <v>27</v>
      </c>
      <c r="S192" s="30">
        <f>(Claims_data[[#This Row],[Billed Amount ($)]]-Claims_data[[#This Row],[Paid Amount ($)]])/Claims_data[[#This Row],[Billed Amount ($)]]</f>
        <v>1</v>
      </c>
    </row>
    <row r="193" spans="1:19" x14ac:dyDescent="0.2">
      <c r="A193" s="8" t="s">
        <v>297</v>
      </c>
      <c r="B193" s="4" t="s">
        <v>298</v>
      </c>
      <c r="C193" s="5">
        <v>33</v>
      </c>
      <c r="D193" s="4" t="s">
        <v>19</v>
      </c>
      <c r="E193" s="4" t="s">
        <v>20</v>
      </c>
      <c r="F193" s="4" t="s">
        <v>31</v>
      </c>
      <c r="G193" s="4" t="s">
        <v>32</v>
      </c>
      <c r="H193" s="4" t="s">
        <v>33</v>
      </c>
      <c r="I193" s="21">
        <v>45513</v>
      </c>
      <c r="J193" s="21" t="str">
        <f>TEXT(Claims_data[[#This Row],[Service Date]],"mmm")</f>
        <v>Aug</v>
      </c>
      <c r="K193" s="4" t="s">
        <v>73</v>
      </c>
      <c r="L193" s="4" t="s">
        <v>74</v>
      </c>
      <c r="M193" s="6">
        <v>10989.68</v>
      </c>
      <c r="N193" s="6">
        <v>7898.46</v>
      </c>
      <c r="O193" s="6">
        <v>145.81</v>
      </c>
      <c r="P193" s="6">
        <v>7752.65</v>
      </c>
      <c r="Q193" s="4" t="s">
        <v>26</v>
      </c>
      <c r="R193" s="10" t="s">
        <v>27</v>
      </c>
      <c r="S193" s="30">
        <f>(Claims_data[[#This Row],[Billed Amount ($)]]-Claims_data[[#This Row],[Paid Amount ($)]])/Claims_data[[#This Row],[Billed Amount ($)]]</f>
        <v>0.29455179768655687</v>
      </c>
    </row>
    <row r="194" spans="1:19" x14ac:dyDescent="0.2">
      <c r="A194" s="7" t="s">
        <v>299</v>
      </c>
      <c r="B194" s="1" t="s">
        <v>94</v>
      </c>
      <c r="C194" s="2">
        <v>42</v>
      </c>
      <c r="D194" s="1" t="s">
        <v>19</v>
      </c>
      <c r="E194" s="1" t="s">
        <v>30</v>
      </c>
      <c r="F194" s="1" t="s">
        <v>21</v>
      </c>
      <c r="G194" s="1" t="s">
        <v>22</v>
      </c>
      <c r="H194" s="1" t="s">
        <v>23</v>
      </c>
      <c r="I194" s="20">
        <v>45524</v>
      </c>
      <c r="J194" s="20" t="str">
        <f>TEXT(Claims_data[[#This Row],[Service Date]],"mmm")</f>
        <v>Aug</v>
      </c>
      <c r="K194" s="1" t="s">
        <v>60</v>
      </c>
      <c r="L194" s="1" t="s">
        <v>61</v>
      </c>
      <c r="M194" s="3">
        <v>10188.530000000001</v>
      </c>
      <c r="N194" s="3">
        <v>5886.31</v>
      </c>
      <c r="O194" s="3">
        <v>114.2</v>
      </c>
      <c r="P194" s="3">
        <v>5772.11</v>
      </c>
      <c r="Q194" s="1" t="s">
        <v>43</v>
      </c>
      <c r="R194" s="9" t="s">
        <v>27</v>
      </c>
      <c r="S194" s="30">
        <f>(Claims_data[[#This Row],[Billed Amount ($)]]-Claims_data[[#This Row],[Paid Amount ($)]])/Claims_data[[#This Row],[Billed Amount ($)]]</f>
        <v>0.43346979397420438</v>
      </c>
    </row>
    <row r="195" spans="1:19" x14ac:dyDescent="0.2">
      <c r="A195" s="8" t="s">
        <v>300</v>
      </c>
      <c r="B195" s="4" t="s">
        <v>140</v>
      </c>
      <c r="C195" s="5">
        <v>25</v>
      </c>
      <c r="D195" s="4" t="s">
        <v>37</v>
      </c>
      <c r="E195" s="4" t="s">
        <v>20</v>
      </c>
      <c r="F195" s="4" t="s">
        <v>31</v>
      </c>
      <c r="G195" s="4" t="s">
        <v>32</v>
      </c>
      <c r="H195" s="4" t="s">
        <v>33</v>
      </c>
      <c r="I195" s="21">
        <v>45589</v>
      </c>
      <c r="J195" s="21" t="str">
        <f>TEXT(Claims_data[[#This Row],[Service Date]],"mmm")</f>
        <v>Oct</v>
      </c>
      <c r="K195" s="4" t="s">
        <v>24</v>
      </c>
      <c r="L195" s="4" t="s">
        <v>25</v>
      </c>
      <c r="M195" s="6">
        <v>8733.02</v>
      </c>
      <c r="N195" s="6">
        <v>6267.3</v>
      </c>
      <c r="O195" s="6">
        <v>82.32</v>
      </c>
      <c r="P195" s="6">
        <v>6184.98</v>
      </c>
      <c r="Q195" s="4" t="s">
        <v>43</v>
      </c>
      <c r="R195" s="10" t="s">
        <v>27</v>
      </c>
      <c r="S195" s="30">
        <f>(Claims_data[[#This Row],[Billed Amount ($)]]-Claims_data[[#This Row],[Paid Amount ($)]])/Claims_data[[#This Row],[Billed Amount ($)]]</f>
        <v>0.29177077345523095</v>
      </c>
    </row>
    <row r="196" spans="1:19" x14ac:dyDescent="0.2">
      <c r="A196" s="7" t="s">
        <v>301</v>
      </c>
      <c r="B196" s="1" t="s">
        <v>186</v>
      </c>
      <c r="C196" s="2">
        <v>74</v>
      </c>
      <c r="D196" s="1" t="s">
        <v>19</v>
      </c>
      <c r="E196" s="1" t="s">
        <v>38</v>
      </c>
      <c r="F196" s="1" t="s">
        <v>31</v>
      </c>
      <c r="G196" s="1" t="s">
        <v>32</v>
      </c>
      <c r="H196" s="1" t="s">
        <v>33</v>
      </c>
      <c r="I196" s="20">
        <v>45641</v>
      </c>
      <c r="J196" s="20" t="str">
        <f>TEXT(Claims_data[[#This Row],[Service Date]],"mmm")</f>
        <v>Dec</v>
      </c>
      <c r="K196" s="1" t="s">
        <v>85</v>
      </c>
      <c r="L196" s="1" t="s">
        <v>86</v>
      </c>
      <c r="M196" s="3">
        <v>7312.16</v>
      </c>
      <c r="N196" s="3">
        <v>4470.32</v>
      </c>
      <c r="O196" s="3">
        <v>138.97</v>
      </c>
      <c r="P196" s="3">
        <v>4331.3500000000004</v>
      </c>
      <c r="Q196" s="1" t="s">
        <v>26</v>
      </c>
      <c r="R196" s="9" t="s">
        <v>44</v>
      </c>
      <c r="S196" s="30">
        <f>(Claims_data[[#This Row],[Billed Amount ($)]]-Claims_data[[#This Row],[Paid Amount ($)]])/Claims_data[[#This Row],[Billed Amount ($)]]</f>
        <v>0.40765109078575956</v>
      </c>
    </row>
    <row r="197" spans="1:19" x14ac:dyDescent="0.2">
      <c r="A197" s="8" t="s">
        <v>302</v>
      </c>
      <c r="B197" s="4" t="s">
        <v>68</v>
      </c>
      <c r="C197" s="5">
        <v>45</v>
      </c>
      <c r="D197" s="4" t="s">
        <v>37</v>
      </c>
      <c r="E197" s="4" t="s">
        <v>38</v>
      </c>
      <c r="F197" s="4" t="s">
        <v>46</v>
      </c>
      <c r="G197" s="4" t="s">
        <v>47</v>
      </c>
      <c r="H197" s="4" t="s">
        <v>48</v>
      </c>
      <c r="I197" s="21">
        <v>45454</v>
      </c>
      <c r="J197" s="21" t="str">
        <f>TEXT(Claims_data[[#This Row],[Service Date]],"mmm")</f>
        <v>Jun</v>
      </c>
      <c r="K197" s="4" t="s">
        <v>73</v>
      </c>
      <c r="L197" s="4" t="s">
        <v>74</v>
      </c>
      <c r="M197" s="6">
        <v>6226.88</v>
      </c>
      <c r="N197" s="6">
        <v>4353.7299999999996</v>
      </c>
      <c r="O197" s="6">
        <v>32.82</v>
      </c>
      <c r="P197" s="6">
        <v>0</v>
      </c>
      <c r="Q197" s="4" t="s">
        <v>51</v>
      </c>
      <c r="R197" s="10" t="s">
        <v>44</v>
      </c>
      <c r="S197" s="30">
        <f>(Claims_data[[#This Row],[Billed Amount ($)]]-Claims_data[[#This Row],[Paid Amount ($)]])/Claims_data[[#This Row],[Billed Amount ($)]]</f>
        <v>1</v>
      </c>
    </row>
    <row r="198" spans="1:19" x14ac:dyDescent="0.2">
      <c r="A198" s="7" t="s">
        <v>303</v>
      </c>
      <c r="B198" s="1" t="s">
        <v>77</v>
      </c>
      <c r="C198" s="2">
        <v>71</v>
      </c>
      <c r="D198" s="1" t="s">
        <v>19</v>
      </c>
      <c r="E198" s="1" t="s">
        <v>38</v>
      </c>
      <c r="F198" s="1" t="s">
        <v>82</v>
      </c>
      <c r="G198" s="1" t="s">
        <v>83</v>
      </c>
      <c r="H198" s="1" t="s">
        <v>33</v>
      </c>
      <c r="I198" s="20">
        <v>45387</v>
      </c>
      <c r="J198" s="20" t="str">
        <f>TEXT(Claims_data[[#This Row],[Service Date]],"mmm")</f>
        <v>Apr</v>
      </c>
      <c r="K198" s="1" t="s">
        <v>125</v>
      </c>
      <c r="L198" s="1" t="s">
        <v>126</v>
      </c>
      <c r="M198" s="3">
        <v>8933.84</v>
      </c>
      <c r="N198" s="3">
        <v>4957.08</v>
      </c>
      <c r="O198" s="3">
        <v>91.93</v>
      </c>
      <c r="P198" s="3">
        <v>4865.1499999999996</v>
      </c>
      <c r="Q198" s="1" t="s">
        <v>26</v>
      </c>
      <c r="R198" s="9" t="s">
        <v>27</v>
      </c>
      <c r="S198" s="30">
        <f>(Claims_data[[#This Row],[Billed Amount ($)]]-Claims_data[[#This Row],[Paid Amount ($)]])/Claims_data[[#This Row],[Billed Amount ($)]]</f>
        <v>0.45542454308561608</v>
      </c>
    </row>
    <row r="199" spans="1:19" x14ac:dyDescent="0.2">
      <c r="A199" s="8" t="s">
        <v>304</v>
      </c>
      <c r="B199" s="4" t="s">
        <v>198</v>
      </c>
      <c r="C199" s="5">
        <v>73</v>
      </c>
      <c r="D199" s="4" t="s">
        <v>19</v>
      </c>
      <c r="E199" s="4" t="s">
        <v>30</v>
      </c>
      <c r="F199" s="4" t="s">
        <v>31</v>
      </c>
      <c r="G199" s="4" t="s">
        <v>32</v>
      </c>
      <c r="H199" s="4" t="s">
        <v>33</v>
      </c>
      <c r="I199" s="21">
        <v>45494</v>
      </c>
      <c r="J199" s="21" t="str">
        <f>TEXT(Claims_data[[#This Row],[Service Date]],"mmm")</f>
        <v>Jul</v>
      </c>
      <c r="K199" s="4" t="s">
        <v>60</v>
      </c>
      <c r="L199" s="4" t="s">
        <v>61</v>
      </c>
      <c r="M199" s="6">
        <v>6902.01</v>
      </c>
      <c r="N199" s="6">
        <v>4304.91</v>
      </c>
      <c r="O199" s="6">
        <v>91.58</v>
      </c>
      <c r="P199" s="6">
        <v>4213.33</v>
      </c>
      <c r="Q199" s="4" t="s">
        <v>43</v>
      </c>
      <c r="R199" s="10" t="s">
        <v>44</v>
      </c>
      <c r="S199" s="30">
        <f>(Claims_data[[#This Row],[Billed Amount ($)]]-Claims_data[[#This Row],[Paid Amount ($)]])/Claims_data[[#This Row],[Billed Amount ($)]]</f>
        <v>0.38955029042264505</v>
      </c>
    </row>
    <row r="200" spans="1:19" x14ac:dyDescent="0.2">
      <c r="A200" s="7" t="s">
        <v>305</v>
      </c>
      <c r="B200" s="1" t="s">
        <v>209</v>
      </c>
      <c r="C200" s="2">
        <v>59</v>
      </c>
      <c r="D200" s="1" t="s">
        <v>37</v>
      </c>
      <c r="E200" s="1" t="s">
        <v>30</v>
      </c>
      <c r="F200" s="1" t="s">
        <v>31</v>
      </c>
      <c r="G200" s="1" t="s">
        <v>32</v>
      </c>
      <c r="H200" s="1" t="s">
        <v>33</v>
      </c>
      <c r="I200" s="20">
        <v>45628</v>
      </c>
      <c r="J200" s="20" t="str">
        <f>TEXT(Claims_data[[#This Row],[Service Date]],"mmm")</f>
        <v>Dec</v>
      </c>
      <c r="K200" s="1" t="s">
        <v>85</v>
      </c>
      <c r="L200" s="1" t="s">
        <v>86</v>
      </c>
      <c r="M200" s="3">
        <v>9570.4599999999991</v>
      </c>
      <c r="N200" s="3">
        <v>5749.74</v>
      </c>
      <c r="O200" s="3">
        <v>113.64</v>
      </c>
      <c r="P200" s="3">
        <v>0</v>
      </c>
      <c r="Q200" s="1" t="s">
        <v>51</v>
      </c>
      <c r="R200" s="9" t="s">
        <v>27</v>
      </c>
      <c r="S200" s="30">
        <f>(Claims_data[[#This Row],[Billed Amount ($)]]-Claims_data[[#This Row],[Paid Amount ($)]])/Claims_data[[#This Row],[Billed Amount ($)]]</f>
        <v>1</v>
      </c>
    </row>
    <row r="201" spans="1:19" x14ac:dyDescent="0.2">
      <c r="A201" s="14" t="s">
        <v>306</v>
      </c>
      <c r="B201" s="15" t="s">
        <v>215</v>
      </c>
      <c r="C201" s="16">
        <v>38</v>
      </c>
      <c r="D201" s="15" t="s">
        <v>19</v>
      </c>
      <c r="E201" s="15" t="s">
        <v>38</v>
      </c>
      <c r="F201" s="15" t="s">
        <v>21</v>
      </c>
      <c r="G201" s="15" t="s">
        <v>22</v>
      </c>
      <c r="H201" s="15" t="s">
        <v>23</v>
      </c>
      <c r="I201" s="22">
        <v>45475</v>
      </c>
      <c r="J201" s="22" t="str">
        <f>TEXT(Claims_data[[#This Row],[Service Date]],"mmm")</f>
        <v>Jul</v>
      </c>
      <c r="K201" s="15" t="s">
        <v>125</v>
      </c>
      <c r="L201" s="15" t="s">
        <v>126</v>
      </c>
      <c r="M201" s="17">
        <v>1779.27</v>
      </c>
      <c r="N201" s="17">
        <v>1315.26</v>
      </c>
      <c r="O201" s="17">
        <v>28.84</v>
      </c>
      <c r="P201" s="17">
        <v>1286.42</v>
      </c>
      <c r="Q201" s="15" t="s">
        <v>43</v>
      </c>
      <c r="R201" s="18" t="s">
        <v>44</v>
      </c>
      <c r="S201" s="31">
        <f>(Claims_data[[#This Row],[Billed Amount ($)]]-Claims_data[[#This Row],[Paid Amount ($)]])/Claims_data[[#This Row],[Billed Amount ($)]]</f>
        <v>0.27699562179995163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Claims_Data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Mugabe</dc:creator>
  <cp:lastModifiedBy>Patricia Mugabe</cp:lastModifiedBy>
  <dcterms:created xsi:type="dcterms:W3CDTF">2026-04-26T17:58:47Z</dcterms:created>
  <dcterms:modified xsi:type="dcterms:W3CDTF">2026-04-29T13:42:18Z</dcterms:modified>
</cp:coreProperties>
</file>